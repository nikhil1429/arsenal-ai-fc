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(Nidhi)" sheetId="1" state="visible" r:id="rId3"/>
    <sheet name="Sprint Board" sheetId="2" state="visible" r:id="rId4"/>
    <sheet name="Sprint Plan" sheetId="3" state="visible" r:id="rId5"/>
    <sheet name="Dashboard" sheetId="4" state="visible" r:id="rId6"/>
    <sheet name="Phase 2 Back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<sst xmlns="http://schemas.openxmlformats.org/spreadsheetml/2006/main" count="575" uniqueCount="314">
  <si>
    <t xml:space="preserve">NIKHIL — AI PRODUCT ENGINEER  |  SPRINT PLAN</t>
  </si>
  <si>
    <t xml:space="preserve">Sprint Master: Nidhi   •   Start: 20 June 2026   •   Pace: ~8 hrs/day × 6 days (Sun off)   •   2-week sprints</t>
  </si>
  <si>
    <t xml:space="preserve">HOW TO USE THIS TRACKER</t>
  </si>
  <si>
    <t xml:space="preserve">1.  'Sprint Board' = the live to-do board (Jira-style). Every task is one row.</t>
  </si>
  <si>
    <t xml:space="preserve">2.  Update the STATUS column only — pick from dropdown: To Do / In Progress / Done / Blocked. Colour changes automatically.</t>
  </si>
  <si>
    <t xml:space="preserve">3.  'Dashboard' auto-calculates % done per sprint + overall. Nothing to fill there — it reads the board live.</t>
  </si>
  <si>
    <t xml:space="preserve">4.  'Sprint Plan' = the big-picture map: each sprint's theme + the demo/deliverable that must exist at sprint-end.</t>
  </si>
  <si>
    <t xml:space="preserve">5.  'Phase 2 Backlog' = growth items for AFTER the job / better-company push. No dates — pulled in later.</t>
  </si>
  <si>
    <t xml:space="preserve">THE ONE TRIGGER THAT MATTERS</t>
  </si>
  <si>
    <t xml:space="preserve">🚩  Applications START when M1 (Invoice Intelligence) is demo-able — slick UI + an eval dashboard proving accuracy.</t>
  </si>
  <si>
    <t xml:space="preserve">     That lands at the start of Sprint 4 (~early Aug). M1 = the whole job-getting engine. M2/M3 are interview talking-points built WHILE applying.</t>
  </si>
  <si>
    <t xml:space="preserve">PRIORITY LEGEND</t>
  </si>
  <si>
    <t xml:space="preserve">P0  =  Core / non-negotiable (must-do to be apply-ready)</t>
  </si>
  <si>
    <t xml:space="preserve">P1  =  High (makes the application strong)</t>
  </si>
  <si>
    <t xml:space="preserve">P2  =  Phase 2 / growth (after job, or in parallel)</t>
  </si>
  <si>
    <t xml:space="preserve">STATUS COLOURS</t>
  </si>
  <si>
    <t xml:space="preserve">To Do</t>
  </si>
  <si>
    <t xml:space="preserve">In Progress</t>
  </si>
  <si>
    <t xml:space="preserve">Done</t>
  </si>
  <si>
    <t xml:space="preserve">Blocked</t>
  </si>
  <si>
    <t xml:space="preserve">NOTE ON PACE (important)</t>
  </si>
  <si>
    <t xml:space="preserve">Dates are TARGETS Nikhil owns — not deadlines. Sprints flex. Depth &amp; correctness always beat speed; if a topic needs more time, the plan bends, the topic never gets skimmed.</t>
  </si>
  <si>
    <t xml:space="preserve">Biggest single rock: Python / FastAPI / Pydantic (~100–130 hrs, spread across Sprints 1–2).</t>
  </si>
  <si>
    <t xml:space="preserve">Biggest ROI differentiator: the LLMOps / Eval bucket (golden dataset + LLM-as-Judge) — this is what pushes pay into the ₹20L+ band.</t>
  </si>
  <si>
    <t xml:space="preserve">ID</t>
  </si>
  <si>
    <t xml:space="preserve">Sprint</t>
  </si>
  <si>
    <t xml:space="preserve">Stream / Epic</t>
  </si>
  <si>
    <t xml:space="preserve">Task</t>
  </si>
  <si>
    <t xml:space="preserve">Sub-topics</t>
  </si>
  <si>
    <t xml:space="preserve">Priority</t>
  </si>
  <si>
    <t xml:space="preserve">Est Hrs</t>
  </si>
  <si>
    <t xml:space="preserve">Status</t>
  </si>
  <si>
    <t xml:space="preserve">Date Done</t>
  </si>
  <si>
    <t xml:space="preserve">Notes</t>
  </si>
  <si>
    <t xml:space="preserve">1-01</t>
  </si>
  <si>
    <t xml:space="preserve">Sprint 1</t>
  </si>
  <si>
    <t xml:space="preserve">Foundations</t>
  </si>
  <si>
    <t xml:space="preserve">Embeddings (finish)</t>
  </si>
  <si>
    <t xml:space="preserve">vectors, cosine vs euclidean, ANN/HNSW, vendor dedup</t>
  </si>
  <si>
    <t xml:space="preserve">P0</t>
  </si>
  <si>
    <t xml:space="preserve">In progress now</t>
  </si>
  <si>
    <t xml:space="preserve">1-02</t>
  </si>
  <si>
    <t xml:space="preserve">Inference &amp; sampling</t>
  </si>
  <si>
    <t xml:space="preserve">temperature, top-p, top-k, greedy decoding</t>
  </si>
  <si>
    <t xml:space="preserve">temp=0 for invoice extraction</t>
  </si>
  <si>
    <t xml:space="preserve">1-03</t>
  </si>
  <si>
    <t xml:space="preserve">Context window</t>
  </si>
  <si>
    <t xml:space="preserve">token budget, sliding window, summarization</t>
  </si>
  <si>
    <t xml:space="preserve">1-04</t>
  </si>
  <si>
    <t xml:space="preserve">Hallucinations</t>
  </si>
  <si>
    <t xml:space="preserve">causes, detection, grounding</t>
  </si>
  <si>
    <t xml:space="preserve">1-05</t>
  </si>
  <si>
    <t xml:space="preserve">Courses</t>
  </si>
  <si>
    <t xml:space="preserve">Anthropic: API Fundamentals</t>
  </si>
  <si>
    <t xml:space="preserve">messages format, models, params</t>
  </si>
  <si>
    <t xml:space="preserve">Colab</t>
  </si>
  <si>
    <t xml:space="preserve">1-06</t>
  </si>
  <si>
    <t xml:space="preserve">Anthropic: Prompt Engineering (9 ch)</t>
  </si>
  <si>
    <t xml:space="preserve">few-shot, chain-of-thought, system prompts</t>
  </si>
  <si>
    <t xml:space="preserve">1-07</t>
  </si>
  <si>
    <t xml:space="preserve">Python</t>
  </si>
  <si>
    <t xml:space="preserve">Python basics (start)</t>
  </si>
  <si>
    <t xml:space="preserve">syntax vs JS, types, f-strings, control flow</t>
  </si>
  <si>
    <t xml:space="preserve">Biggest rock — spreads into S2</t>
  </si>
  <si>
    <t xml:space="preserve">1-08</t>
  </si>
  <si>
    <t xml:space="preserve">Setup</t>
  </si>
  <si>
    <t xml:space="preserve">FinOps repo + Supabase</t>
  </si>
  <si>
    <t xml:space="preserve">scaffold, env, Postgres + pgvector setup</t>
  </si>
  <si>
    <t xml:space="preserve">1-09</t>
  </si>
  <si>
    <t xml:space="preserve">Recall + Bolo locks</t>
  </si>
  <si>
    <t xml:space="preserve">blank-recall, spoken explain, capsule lock</t>
  </si>
  <si>
    <t xml:space="preserve">Forge — interview defense</t>
  </si>
  <si>
    <t xml:space="preserve">2-10</t>
  </si>
  <si>
    <t xml:space="preserve">Sprint 2</t>
  </si>
  <si>
    <t xml:space="preserve">Python basics (finish)</t>
  </si>
  <si>
    <t xml:space="preserve">modules, error handling, file/JSON</t>
  </si>
  <si>
    <t xml:space="preserve">2-11</t>
  </si>
  <si>
    <t xml:space="preserve">FastAPI</t>
  </si>
  <si>
    <t xml:space="preserve">routes, async endpoints, request/response</t>
  </si>
  <si>
    <t xml:space="preserve">AI backend = Python</t>
  </si>
  <si>
    <t xml:space="preserve">2-12</t>
  </si>
  <si>
    <t xml:space="preserve">Pydantic</t>
  </si>
  <si>
    <t xml:space="preserve">force LLM -&gt; strict typed output</t>
  </si>
  <si>
    <t xml:space="preserve">Core tool for reliable extraction</t>
  </si>
  <si>
    <t xml:space="preserve">2-13</t>
  </si>
  <si>
    <t xml:space="preserve">Anthropic: Tool Use</t>
  </si>
  <si>
    <t xml:space="preserve">function-calling course</t>
  </si>
  <si>
    <t xml:space="preserve">2-14</t>
  </si>
  <si>
    <t xml:space="preserve">LLM-API</t>
  </si>
  <si>
    <t xml:space="preserve">Structured / JSON output + validation</t>
  </si>
  <si>
    <t xml:space="preserve">schema-forcing, parse, validate</t>
  </si>
  <si>
    <t xml:space="preserve">2-15</t>
  </si>
  <si>
    <t xml:space="preserve">Multimodal / vision input</t>
  </si>
  <si>
    <t xml:space="preserve">scanned &amp; image invoice -&gt; text</t>
  </si>
  <si>
    <t xml:space="preserve">Extraction core</t>
  </si>
  <si>
    <t xml:space="preserve">2-16</t>
  </si>
  <si>
    <t xml:space="preserve">Prompt engineering (hands-on)</t>
  </si>
  <si>
    <t xml:space="preserve">extraction prompts, edge cases</t>
  </si>
  <si>
    <t xml:space="preserve">2-17</t>
  </si>
  <si>
    <t xml:space="preserve">Domain</t>
  </si>
  <si>
    <t xml:space="preserve">Compliance: TDS/TCS/DTAA (start)</t>
  </si>
  <si>
    <t xml:space="preserve">194C/194J/194H, TCS 206C, DTAA treaties</t>
  </si>
  <si>
    <t xml:space="preserve">Re-learn from zero</t>
  </si>
  <si>
    <t xml:space="preserve">2-18</t>
  </si>
  <si>
    <t xml:space="preserve">Cross-cut</t>
  </si>
  <si>
    <t xml:space="preserve">'Where NOT to use AI'</t>
  </si>
  <si>
    <t xml:space="preserve">deterministic TDS math in code</t>
  </si>
  <si>
    <t xml:space="preserve">Senior signal — defend in interview</t>
  </si>
  <si>
    <t xml:space="preserve">2-19</t>
  </si>
  <si>
    <t xml:space="preserve">Build</t>
  </si>
  <si>
    <t xml:space="preserve">M1: Upload -&gt; extraction (Postman)</t>
  </si>
  <si>
    <t xml:space="preserve">FastAPI endpoint, JSON out, no UI yet</t>
  </si>
  <si>
    <t xml:space="preserve">First working slice</t>
  </si>
  <si>
    <t xml:space="preserve">3-20</t>
  </si>
  <si>
    <t xml:space="preserve">Sprint 3</t>
  </si>
  <si>
    <t xml:space="preserve">Compliance: TDS/TCS/DTAA (finish)</t>
  </si>
  <si>
    <t xml:space="preserve">thresholds, individual vs company rate</t>
  </si>
  <si>
    <t xml:space="preserve">3-21</t>
  </si>
  <si>
    <t xml:space="preserve">LLMOps</t>
  </si>
  <si>
    <t xml:space="preserve">Golden dataset + metrics</t>
  </si>
  <si>
    <t xml:space="preserve">30 real invoices, precision / recall / F1</t>
  </si>
  <si>
    <t xml:space="preserve">Secret weapon</t>
  </si>
  <si>
    <t xml:space="preserve">3-22</t>
  </si>
  <si>
    <t xml:space="preserve">LLM-as-Judge</t>
  </si>
  <si>
    <t xml:space="preserve">auto-grade extraction vs ground truth</t>
  </si>
  <si>
    <t xml:space="preserve">3-23</t>
  </si>
  <si>
    <t xml:space="preserve">Anthropic: Evaluations</t>
  </si>
  <si>
    <t xml:space="preserve">eval design, metrics</t>
  </si>
  <si>
    <t xml:space="preserve">3-24</t>
  </si>
  <si>
    <t xml:space="preserve">Observability</t>
  </si>
  <si>
    <t xml:space="preserve">tokens / latency / cost / prompt-version</t>
  </si>
  <si>
    <t xml:space="preserve">api_logs table</t>
  </si>
  <si>
    <t xml:space="preserve">3-25</t>
  </si>
  <si>
    <t xml:space="preserve">Confidence / trust scoring</t>
  </si>
  <si>
    <t xml:space="preserve">0-100 + action thresholds</t>
  </si>
  <si>
    <t xml:space="preserve">3-26</t>
  </si>
  <si>
    <t xml:space="preserve">Guardrails + error handling + caching</t>
  </si>
  <si>
    <t xml:space="preserve">input/output validation, DEMO_MODE</t>
  </si>
  <si>
    <t xml:space="preserve">3-27</t>
  </si>
  <si>
    <t xml:space="preserve">Multi-model verification</t>
  </si>
  <si>
    <t xml:space="preserve">Claude + GPT, agree/disagree</t>
  </si>
  <si>
    <t xml:space="preserve">P1</t>
  </si>
  <si>
    <t xml:space="preserve">3-28</t>
  </si>
  <si>
    <t xml:space="preserve">M1: Eval Dashboard</t>
  </si>
  <si>
    <t xml:space="preserve">accuracy %, tracing, version compare</t>
  </si>
  <si>
    <t xml:space="preserve">THE hireable artifact</t>
  </si>
  <si>
    <t xml:space="preserve">4-29</t>
  </si>
  <si>
    <t xml:space="preserve">Sprint 4</t>
  </si>
  <si>
    <t xml:space="preserve">Streaming (SSE) + structured streaming</t>
  </si>
  <si>
    <t xml:space="preserve">word-by-word, field-by-field UI</t>
  </si>
  <si>
    <t xml:space="preserve">4-30</t>
  </si>
  <si>
    <t xml:space="preserve">Human-in-loop / 'Teach the AI' RLHF</t>
  </si>
  <si>
    <t xml:space="preserve">user corrections -&gt; re-evaluate</t>
  </si>
  <si>
    <t xml:space="preserve">Anchor principle</t>
  </si>
  <si>
    <t xml:space="preserve">4-31</t>
  </si>
  <si>
    <t xml:space="preserve">Full-Stack</t>
  </si>
  <si>
    <t xml:space="preserve">React UI + build M1 frontend</t>
  </si>
  <si>
    <t xml:space="preserve">refresh React, wire to backend</t>
  </si>
  <si>
    <t xml:space="preserve">4-32</t>
  </si>
  <si>
    <t xml:space="preserve">Vercel deploy</t>
  </si>
  <si>
    <t xml:space="preserve">env, prod config, live URL</t>
  </si>
  <si>
    <t xml:space="preserve">4-33</t>
  </si>
  <si>
    <t xml:space="preserve">Explainability / reasoning flowchart</t>
  </si>
  <si>
    <t xml:space="preserve">'Show AI Details' 3-level toggle</t>
  </si>
  <si>
    <t xml:space="preserve">4-34</t>
  </si>
  <si>
    <t xml:space="preserve">Career</t>
  </si>
  <si>
    <t xml:space="preserve">Resume + positioning narrative</t>
  </si>
  <si>
    <t xml:space="preserve">ex-FinOps -&gt; AI Product framing</t>
  </si>
  <si>
    <t xml:space="preserve">4-35</t>
  </si>
  <si>
    <t xml:space="preserve">LinkedIn + Loom demo video</t>
  </si>
  <si>
    <t xml:space="preserve">profile rewrite + M1 walkthrough</t>
  </si>
  <si>
    <t xml:space="preserve">4-36</t>
  </si>
  <si>
    <t xml:space="preserve">🚩 APPLICATIONS BEGIN</t>
  </si>
  <si>
    <t xml:space="preserve">fintech-AI + applied-AI roles</t>
  </si>
  <si>
    <t xml:space="preserve">Trigger: M1 demo-able</t>
  </si>
  <si>
    <t xml:space="preserve">4-37</t>
  </si>
  <si>
    <t xml:space="preserve">Interview prep: concept Q&amp;A (start)</t>
  </si>
  <si>
    <t xml:space="preserve">drill bucket concepts cold</t>
  </si>
  <si>
    <t xml:space="preserve">5-38</t>
  </si>
  <si>
    <t xml:space="preserve">Sprint 5</t>
  </si>
  <si>
    <t xml:space="preserve">RAG</t>
  </si>
  <si>
    <t xml:space="preserve">Vector search</t>
  </si>
  <si>
    <t xml:space="preserve">pgvector + FAISS</t>
  </si>
  <si>
    <t xml:space="preserve">5-39</t>
  </si>
  <si>
    <t xml:space="preserve">Chunking</t>
  </si>
  <si>
    <t xml:space="preserve">semantic / section-aware</t>
  </si>
  <si>
    <t xml:space="preserve">5-40</t>
  </si>
  <si>
    <t xml:space="preserve">Retrieval</t>
  </si>
  <si>
    <t xml:space="preserve">top-K + hybrid (BM25 + semantic)</t>
  </si>
  <si>
    <t xml:space="preserve">5-41</t>
  </si>
  <si>
    <t xml:space="preserve">RAG evaluation</t>
  </si>
  <si>
    <t xml:space="preserve">faithfulness / groundedness</t>
  </si>
  <si>
    <t xml:space="preserve">5-42</t>
  </si>
  <si>
    <t xml:space="preserve">Re-ranking</t>
  </si>
  <si>
    <t xml:space="preserve">cross-encoder</t>
  </si>
  <si>
    <t xml:space="preserve">5-43</t>
  </si>
  <si>
    <t xml:space="preserve">M2: Bank Reconciliation</t>
  </si>
  <si>
    <t xml:space="preserve">fuzzy match, anomaly, AI-explained mismatch</t>
  </si>
  <si>
    <t xml:space="preserve">5-44</t>
  </si>
  <si>
    <t xml:space="preserve">Basic Docker</t>
  </si>
  <si>
    <t xml:space="preserve">docker-compose: FastAPI + pgvector</t>
  </si>
  <si>
    <t xml:space="preserve">Cheap credibility — not K8s/cloud</t>
  </si>
  <si>
    <t xml:space="preserve">5-45</t>
  </si>
  <si>
    <t xml:space="preserve">Mock interviews (start)</t>
  </si>
  <si>
    <t xml:space="preserve">cold, adversarial</t>
  </si>
  <si>
    <t xml:space="preserve">5-46</t>
  </si>
  <si>
    <t xml:space="preserve">Applications (ongoing)</t>
  </si>
  <si>
    <t xml:space="preserve">apply + track</t>
  </si>
  <si>
    <t xml:space="preserve">6-47</t>
  </si>
  <si>
    <t xml:space="preserve">Sprint 6</t>
  </si>
  <si>
    <t xml:space="preserve">Agents</t>
  </si>
  <si>
    <t xml:space="preserve">ReAct agent (hands-on)</t>
  </si>
  <si>
    <t xml:space="preserve">observe-&gt;reason-&gt;act, multi-tool</t>
  </si>
  <si>
    <t xml:space="preserve">6-48</t>
  </si>
  <si>
    <t xml:space="preserve">Agentic reflection</t>
  </si>
  <si>
    <t xml:space="preserve">self-correction on low confidence</t>
  </si>
  <si>
    <t xml:space="preserve">6-49</t>
  </si>
  <si>
    <t xml:space="preserve">Model routing + batch processing</t>
  </si>
  <si>
    <t xml:space="preserve">complexity-&gt;cheapest model, Batch API</t>
  </si>
  <si>
    <t xml:space="preserve">6-50</t>
  </si>
  <si>
    <t xml:space="preserve">Prompt versioning + A/B</t>
  </si>
  <si>
    <t xml:space="preserve">Supabase prompt_versions, rollback</t>
  </si>
  <si>
    <t xml:space="preserve">6-51</t>
  </si>
  <si>
    <t xml:space="preserve">PII masking + injection defense</t>
  </si>
  <si>
    <t xml:space="preserve">Aadhaar/bank mask, malicious input</t>
  </si>
  <si>
    <t xml:space="preserve">6-52</t>
  </si>
  <si>
    <t xml:space="preserve">CI/CD with AI</t>
  </si>
  <si>
    <t xml:space="preserve">eval as deploy-gate (Jest/Actions)</t>
  </si>
  <si>
    <t xml:space="preserve">6-53</t>
  </si>
  <si>
    <t xml:space="preserve">Light: NN / training-RLHF / jagged</t>
  </si>
  <si>
    <t xml:space="preserve">interview-confidence depth only</t>
  </si>
  <si>
    <t xml:space="preserve">6-54</t>
  </si>
  <si>
    <t xml:space="preserve">Mock interviews (intensive) + Re-Jirah</t>
  </si>
  <si>
    <t xml:space="preserve">timed, cold + spaced revision</t>
  </si>
  <si>
    <t xml:space="preserve">6-55</t>
  </si>
  <si>
    <t xml:space="preserve">Applications + take-homes (ongoing)</t>
  </si>
  <si>
    <t xml:space="preserve">deep-dives, assignments</t>
  </si>
  <si>
    <t xml:space="preserve">Dates (2 wks, Sun off)</t>
  </si>
  <si>
    <t xml:space="preserve">Theme</t>
  </si>
  <si>
    <t xml:space="preserve">Key Deliverable / Demo at sprint-end</t>
  </si>
  <si>
    <t xml:space="preserve">Apply?</t>
  </si>
  <si>
    <t xml:space="preserve">22 Jun – 04 Jul</t>
  </si>
  <si>
    <t xml:space="preserve">Foundations + Setup</t>
  </si>
  <si>
    <t xml:space="preserve">5 foundation concepts locked; Prompt-Eng course done; first Claude API call; FinOps repo + Supabase live.</t>
  </si>
  <si>
    <t xml:space="preserve">Not yet</t>
  </si>
  <si>
    <t xml:space="preserve">06 Jul – 18 Jul</t>
  </si>
  <si>
    <t xml:space="preserve">M1 Extraction Core (Python)</t>
  </si>
  <si>
    <t xml:space="preserve">Upload invoice -&gt; structured JSON via FastAPI/Pydantic (Postman). TDS math in deterministic code.</t>
  </si>
  <si>
    <t xml:space="preserve">20 Jul – 01 Aug</t>
  </si>
  <si>
    <t xml:space="preserve">M1 Trust + Eval Engine</t>
  </si>
  <si>
    <t xml:space="preserve">Eval Dashboard: '94% precision on 30 invoices' + tracing + version compare. ← hireable proof.</t>
  </si>
  <si>
    <t xml:space="preserve">03 Aug – 15 Aug</t>
  </si>
  <si>
    <t xml:space="preserve">M1 Full-Stack + SHIP</t>
  </si>
  <si>
    <t xml:space="preserve">M1 LIVE on Vercel: slick UI, streaming, human-in-loop, eval-backed. Resume + Loom video out.</t>
  </si>
  <si>
    <t xml:space="preserve">🚩 START</t>
  </si>
  <si>
    <t xml:space="preserve">17 Aug – 29 Aug</t>
  </si>
  <si>
    <t xml:space="preserve">RAG + M2 Bank Recon</t>
  </si>
  <si>
    <t xml:space="preserve">RAG over past invoices; M2 reconciliation working; Dockerised local. Interviewing in parallel.</t>
  </si>
  <si>
    <t xml:space="preserve">Ongoing</t>
  </si>
  <si>
    <t xml:space="preserve">31 Aug – 12 Sep</t>
  </si>
  <si>
    <t xml:space="preserve">Agents + Interview Hardening</t>
  </si>
  <si>
    <t xml:space="preserve">Agent feature live; full Bucket-1/3/4 coverage; mock-interview ready across all concepts.</t>
  </si>
  <si>
    <t xml:space="preserve">LIVE PROGRESS DASHBOARD</t>
  </si>
  <si>
    <t xml:space="preserve">Auto-calculated from Sprint Board. Updates as Nidhi changes Status.</t>
  </si>
  <si>
    <t xml:space="preserve">OVERALL (Phase 1)</t>
  </si>
  <si>
    <t xml:space="preserve">Total tasks</t>
  </si>
  <si>
    <t xml:space="preserve">% Complete</t>
  </si>
  <si>
    <t xml:space="preserve">Total est hrs</t>
  </si>
  <si>
    <t xml:space="preserve">Hrs done</t>
  </si>
  <si>
    <t xml:space="preserve">BY SPRINT</t>
  </si>
  <si>
    <t xml:space="preserve">Tasks</t>
  </si>
  <si>
    <t xml:space="preserve">Progress</t>
  </si>
  <si>
    <t xml:space="preserve">Hrs Done</t>
  </si>
  <si>
    <t xml:space="preserve">TOTAL</t>
  </si>
  <si>
    <t xml:space="preserve">PHASE 2 — BETTER COMPANIES / GROWTH  (after job, or in parallel — no fixed dates)</t>
  </si>
  <si>
    <t xml:space="preserve">Item</t>
  </si>
  <si>
    <t xml:space="preserve">Est Time</t>
  </si>
  <si>
    <t xml:space="preserve">Build: M3 Procurement</t>
  </si>
  <si>
    <t xml:space="preserve">optimization, constraint-satisfaction, LP solver, multi-objective scoring, what-if</t>
  </si>
  <si>
    <t xml:space="preserve">P2</t>
  </si>
  <si>
    <t xml:space="preserve">1–2 wk</t>
  </si>
  <si>
    <t xml:space="preserve">Graph RAG</t>
  </si>
  <si>
    <t xml:space="preserve">NetworkX, vendor-fraud-network detection</t>
  </si>
  <si>
    <t xml:space="preserve">3–4 d</t>
  </si>
  <si>
    <t xml:space="preserve">LlamaIndex</t>
  </si>
  <si>
    <t xml:space="preserve">framework RAG vs from-scratch</t>
  </si>
  <si>
    <t xml:space="preserve">3 d</t>
  </si>
  <si>
    <t xml:space="preserve">Multi-agent + MCP server</t>
  </si>
  <si>
    <t xml:space="preserve">agent collaboration, build MCP tools</t>
  </si>
  <si>
    <t xml:space="preserve">1 wk</t>
  </si>
  <si>
    <t xml:space="preserve">Agent memory</t>
  </si>
  <si>
    <t xml:space="preserve">episodic / semantic / procedural</t>
  </si>
  <si>
    <t xml:space="preserve">2–3 d</t>
  </si>
  <si>
    <t xml:space="preserve">Cloud / MLOps (deep)</t>
  </si>
  <si>
    <t xml:space="preserve">Docker deep, Kubernetes, AWS/GCP — gates highest pay</t>
  </si>
  <si>
    <t xml:space="preserve">4–6 wk</t>
  </si>
  <si>
    <t xml:space="preserve">LangChain + LangSmith / Phoenix</t>
  </si>
  <si>
    <t xml:space="preserve">orchestration + agent tracing / token-cost</t>
  </si>
  <si>
    <t xml:space="preserve">Fine-tuning / LoRA-QLoRA</t>
  </si>
  <si>
    <t xml:space="preserve">when vs prompt, PEFT, data prep</t>
  </si>
  <si>
    <t xml:space="preserve">Quantization + Ollama</t>
  </si>
  <si>
    <t xml:space="preserve">local LLMs, 4/8-bit</t>
  </si>
  <si>
    <t xml:space="preserve">System design (deep)</t>
  </si>
  <si>
    <t xml:space="preserve">LLM-app architecture, scale, failure</t>
  </si>
  <si>
    <t xml:space="preserve">TypeScript migration</t>
  </si>
  <si>
    <t xml:space="preserve">if not done in Phase 1</t>
  </si>
  <si>
    <t xml:space="preserve">Cert: CCA-F</t>
  </si>
  <si>
    <t xml:space="preserve">Claude Certified Architect Foundations</t>
  </si>
  <si>
    <t xml:space="preserve">~1 wk</t>
  </si>
  <si>
    <t xml:space="preserve">Cert: DeepLearning.AI GenAI w/ LLMs</t>
  </si>
  <si>
    <t xml:space="preserve">Andrew Ng, weekends</t>
  </si>
  <si>
    <t xml:space="preserve">3–4 wk</t>
  </si>
  <si>
    <t xml:space="preserve">Discuss-fluently set</t>
  </si>
  <si>
    <t xml:space="preserve">distillation, MoE, Constitutional AI, RLHF vs DPO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</si>
</sst>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1"/>
      <color rgb="FFC0392B"/>
      <name val="Arial"/>
      <family val="0"/>
      <charset val="1"/>
    </font>
    <font>
      <sz val="11"/>
      <color rgb="FFB9770E"/>
      <name val="Arial"/>
      <family val="0"/>
      <charset val="1"/>
    </font>
    <font>
      <sz val="11"/>
      <color rgb="FF1E7D4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A46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B9770E"/>
      <name val="Arial"/>
      <family val="0"/>
      <charset val="1"/>
    </font>
    <font>
      <b val="true"/>
      <sz val="15"/>
      <color rgb="FF1F2A44"/>
      <name val="Arial"/>
      <family val="0"/>
      <charset val="1"/>
    </font>
    <font>
      <i val="true"/>
      <sz val="10"/>
      <color rgb="FF3A46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2A44"/>
      <name val="Arial"/>
      <family val="0"/>
      <charset val="1"/>
    </font>
    <font>
      <b val="true"/>
      <sz val="10"/>
      <color rgb="FF1E7D4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EF1F6"/>
        <bgColor rgb="FFF7F9FC"/>
      </patternFill>
    </fill>
    <fill>
      <patternFill patternType="solid">
        <fgColor rgb="FFE2E6EC"/>
        <bgColor rgb="FFEEF1F6"/>
      </patternFill>
    </fill>
    <fill>
      <patternFill patternType="solid">
        <fgColor rgb="FFFFEB9C"/>
        <bgColor rgb="FFFEF3C7"/>
      </patternFill>
    </fill>
    <fill>
      <patternFill patternType="solid">
        <fgColor rgb="FFC6EFCE"/>
        <bgColor rgb="FFDCFCE7"/>
      </patternFill>
    </fill>
    <fill>
      <patternFill patternType="solid">
        <fgColor rgb="FFFFC7CE"/>
        <bgColor rgb="FFD5DAE2"/>
      </patternFill>
    </fill>
    <fill>
      <patternFill patternType="solid">
        <fgColor rgb="FF1F2A44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DCFCE7"/>
        <bgColor rgb="FFEEF1F6"/>
      </patternFill>
    </fill>
    <fill>
      <patternFill patternType="solid">
        <fgColor rgb="FFFEF3C7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2"/>
      </left>
      <right style="thin">
        <color rgb="FFD5DAE2"/>
      </right>
      <top style="thin">
        <color rgb="FFD5DAE2"/>
      </top>
      <bottom style="thin">
        <color rgb="FFD5DA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2E6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E7D46"/>
      <rgbColor rgb="FFE2E6E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A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6"/>
      <rgbColor rgb="FFC6EFCE"/>
      <rgbColor rgb="FFFFEB9C"/>
      <rgbColor rgb="FFF7F9F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A4660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  <col collapsed="false" customWidth="true" hidden="false" outlineLevel="0" max="6" min="3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26.8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1" customFormat="false" ht="15" hidden="false" customHeight="false" outlineLevel="0" collapsed="false">
      <c r="B11" s="3" t="s">
        <v>8</v>
      </c>
    </row>
    <row r="12" customFormat="false" ht="26.85" hidden="false" customHeight="false" outlineLevel="0" collapsed="false">
      <c r="B12" s="5" t="s">
        <v>9</v>
      </c>
    </row>
    <row r="13" customFormat="false" ht="26.8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6" t="s">
        <v>12</v>
      </c>
    </row>
    <row r="17" customFormat="false" ht="15" hidden="false" customHeight="false" outlineLevel="0" collapsed="false">
      <c r="B17" s="7" t="s">
        <v>13</v>
      </c>
    </row>
    <row r="18" customFormat="false" ht="15" hidden="false" customHeight="false" outlineLevel="0" collapsed="false">
      <c r="B18" s="8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C21" s="9" t="s">
        <v>16</v>
      </c>
      <c r="D21" s="10" t="s">
        <v>17</v>
      </c>
      <c r="E21" s="11" t="s">
        <v>18</v>
      </c>
      <c r="F21" s="12" t="s">
        <v>19</v>
      </c>
    </row>
    <row r="22" customFormat="false" ht="15" hidden="false" customHeight="false" outlineLevel="0" collapsed="false">
      <c r="B22" s="3" t="s">
        <v>20</v>
      </c>
    </row>
    <row r="23" customFormat="false" ht="26.85" hidden="false" customHeight="false" outlineLevel="0" collapsed="false">
      <c r="B23" s="4" t="s">
        <v>21</v>
      </c>
    </row>
    <row r="24" customFormat="false" ht="15" hidden="false" customHeight="false" outlineLevel="0" collapsed="false">
      <c r="B24" s="4" t="s">
        <v>22</v>
      </c>
    </row>
    <row r="25" customFormat="false" ht="26.85" hidden="false" customHeight="false" outlineLevel="0" collapsed="false">
      <c r="B25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</row>
    <row r="2" customFormat="false" ht="30" hidden="false" customHeight="true" outlineLevel="0" collapsed="false">
      <c r="A2" s="14" t="s">
        <v>34</v>
      </c>
      <c r="B2" s="15" t="s">
        <v>35</v>
      </c>
      <c r="C2" s="16" t="s">
        <v>36</v>
      </c>
      <c r="D2" s="17" t="s">
        <v>37</v>
      </c>
      <c r="E2" s="18" t="s">
        <v>38</v>
      </c>
      <c r="F2" s="19" t="s">
        <v>39</v>
      </c>
      <c r="G2" s="14" t="n">
        <v>8</v>
      </c>
      <c r="H2" s="20" t="s">
        <v>16</v>
      </c>
      <c r="I2" s="14"/>
      <c r="J2" s="18" t="s">
        <v>40</v>
      </c>
    </row>
    <row r="3" customFormat="false" ht="30" hidden="false" customHeight="true" outlineLevel="0" collapsed="false">
      <c r="A3" s="14" t="s">
        <v>41</v>
      </c>
      <c r="B3" s="15" t="s">
        <v>35</v>
      </c>
      <c r="C3" s="16" t="s">
        <v>36</v>
      </c>
      <c r="D3" s="17" t="s">
        <v>42</v>
      </c>
      <c r="E3" s="18" t="s">
        <v>43</v>
      </c>
      <c r="F3" s="19" t="s">
        <v>39</v>
      </c>
      <c r="G3" s="14" t="n">
        <v>6</v>
      </c>
      <c r="H3" s="20" t="s">
        <v>16</v>
      </c>
      <c r="I3" s="14"/>
      <c r="J3" s="18" t="s">
        <v>44</v>
      </c>
    </row>
    <row r="4" customFormat="false" ht="30" hidden="false" customHeight="true" outlineLevel="0" collapsed="false">
      <c r="A4" s="14" t="s">
        <v>45</v>
      </c>
      <c r="B4" s="15" t="s">
        <v>35</v>
      </c>
      <c r="C4" s="16" t="s">
        <v>36</v>
      </c>
      <c r="D4" s="17" t="s">
        <v>46</v>
      </c>
      <c r="E4" s="18" t="s">
        <v>47</v>
      </c>
      <c r="F4" s="19" t="s">
        <v>39</v>
      </c>
      <c r="G4" s="14" t="n">
        <v>6</v>
      </c>
      <c r="H4" s="20" t="s">
        <v>16</v>
      </c>
      <c r="I4" s="14"/>
      <c r="J4" s="18"/>
    </row>
    <row r="5" customFormat="false" ht="30" hidden="false" customHeight="true" outlineLevel="0" collapsed="false">
      <c r="A5" s="14" t="s">
        <v>48</v>
      </c>
      <c r="B5" s="15" t="s">
        <v>35</v>
      </c>
      <c r="C5" s="16" t="s">
        <v>36</v>
      </c>
      <c r="D5" s="17" t="s">
        <v>49</v>
      </c>
      <c r="E5" s="18" t="s">
        <v>50</v>
      </c>
      <c r="F5" s="19" t="s">
        <v>39</v>
      </c>
      <c r="G5" s="14" t="n">
        <v>6</v>
      </c>
      <c r="H5" s="20" t="s">
        <v>16</v>
      </c>
      <c r="I5" s="14"/>
      <c r="J5" s="18"/>
    </row>
    <row r="6" customFormat="false" ht="30" hidden="false" customHeight="true" outlineLevel="0" collapsed="false">
      <c r="A6" s="14" t="s">
        <v>51</v>
      </c>
      <c r="B6" s="15" t="s">
        <v>35</v>
      </c>
      <c r="C6" s="16" t="s">
        <v>52</v>
      </c>
      <c r="D6" s="17" t="s">
        <v>53</v>
      </c>
      <c r="E6" s="18" t="s">
        <v>54</v>
      </c>
      <c r="F6" s="19" t="s">
        <v>39</v>
      </c>
      <c r="G6" s="14" t="n">
        <v>4</v>
      </c>
      <c r="H6" s="20" t="s">
        <v>16</v>
      </c>
      <c r="I6" s="14"/>
      <c r="J6" s="18" t="s">
        <v>55</v>
      </c>
    </row>
    <row r="7" customFormat="false" ht="30" hidden="false" customHeight="true" outlineLevel="0" collapsed="false">
      <c r="A7" s="14" t="s">
        <v>56</v>
      </c>
      <c r="B7" s="15" t="s">
        <v>35</v>
      </c>
      <c r="C7" s="16" t="s">
        <v>52</v>
      </c>
      <c r="D7" s="17" t="s">
        <v>57</v>
      </c>
      <c r="E7" s="18" t="s">
        <v>58</v>
      </c>
      <c r="F7" s="19" t="s">
        <v>39</v>
      </c>
      <c r="G7" s="14" t="n">
        <v>12</v>
      </c>
      <c r="H7" s="20" t="s">
        <v>16</v>
      </c>
      <c r="I7" s="14"/>
      <c r="J7" s="18" t="s">
        <v>55</v>
      </c>
    </row>
    <row r="8" customFormat="false" ht="30" hidden="false" customHeight="true" outlineLevel="0" collapsed="false">
      <c r="A8" s="14" t="s">
        <v>59</v>
      </c>
      <c r="B8" s="15" t="s">
        <v>35</v>
      </c>
      <c r="C8" s="16" t="s">
        <v>60</v>
      </c>
      <c r="D8" s="17" t="s">
        <v>61</v>
      </c>
      <c r="E8" s="18" t="s">
        <v>62</v>
      </c>
      <c r="F8" s="19" t="s">
        <v>39</v>
      </c>
      <c r="G8" s="14" t="n">
        <v>16</v>
      </c>
      <c r="H8" s="20" t="s">
        <v>16</v>
      </c>
      <c r="I8" s="14"/>
      <c r="J8" s="18" t="s">
        <v>63</v>
      </c>
    </row>
    <row r="9" customFormat="false" ht="30" hidden="false" customHeight="true" outlineLevel="0" collapsed="false">
      <c r="A9" s="14" t="s">
        <v>64</v>
      </c>
      <c r="B9" s="15" t="s">
        <v>35</v>
      </c>
      <c r="C9" s="16" t="s">
        <v>65</v>
      </c>
      <c r="D9" s="17" t="s">
        <v>66</v>
      </c>
      <c r="E9" s="18" t="s">
        <v>67</v>
      </c>
      <c r="F9" s="19" t="s">
        <v>39</v>
      </c>
      <c r="G9" s="14" t="n">
        <v>6</v>
      </c>
      <c r="H9" s="20" t="s">
        <v>16</v>
      </c>
      <c r="I9" s="14"/>
      <c r="J9" s="18"/>
    </row>
    <row r="10" customFormat="false" ht="30" hidden="false" customHeight="true" outlineLevel="0" collapsed="false">
      <c r="A10" s="14" t="s">
        <v>68</v>
      </c>
      <c r="B10" s="15" t="s">
        <v>35</v>
      </c>
      <c r="C10" s="16" t="s">
        <v>36</v>
      </c>
      <c r="D10" s="17" t="s">
        <v>69</v>
      </c>
      <c r="E10" s="18" t="s">
        <v>70</v>
      </c>
      <c r="F10" s="19" t="s">
        <v>39</v>
      </c>
      <c r="G10" s="14" t="n">
        <v>6</v>
      </c>
      <c r="H10" s="20" t="s">
        <v>16</v>
      </c>
      <c r="I10" s="14"/>
      <c r="J10" s="18" t="s">
        <v>71</v>
      </c>
    </row>
    <row r="11" customFormat="false" ht="30" hidden="false" customHeight="true" outlineLevel="0" collapsed="false">
      <c r="A11" s="21" t="s">
        <v>72</v>
      </c>
      <c r="B11" s="22" t="s">
        <v>73</v>
      </c>
      <c r="C11" s="23" t="s">
        <v>60</v>
      </c>
      <c r="D11" s="24" t="s">
        <v>74</v>
      </c>
      <c r="E11" s="25" t="s">
        <v>75</v>
      </c>
      <c r="F11" s="26" t="s">
        <v>39</v>
      </c>
      <c r="G11" s="21" t="n">
        <v>12</v>
      </c>
      <c r="H11" s="20" t="s">
        <v>16</v>
      </c>
      <c r="I11" s="21"/>
      <c r="J11" s="25"/>
    </row>
    <row r="12" customFormat="false" ht="30" hidden="false" customHeight="true" outlineLevel="0" collapsed="false">
      <c r="A12" s="21" t="s">
        <v>76</v>
      </c>
      <c r="B12" s="22" t="s">
        <v>73</v>
      </c>
      <c r="C12" s="23" t="s">
        <v>60</v>
      </c>
      <c r="D12" s="24" t="s">
        <v>77</v>
      </c>
      <c r="E12" s="25" t="s">
        <v>78</v>
      </c>
      <c r="F12" s="26" t="s">
        <v>39</v>
      </c>
      <c r="G12" s="21" t="n">
        <v>10</v>
      </c>
      <c r="H12" s="20" t="s">
        <v>16</v>
      </c>
      <c r="I12" s="21"/>
      <c r="J12" s="25" t="s">
        <v>79</v>
      </c>
    </row>
    <row r="13" customFormat="false" ht="30" hidden="false" customHeight="true" outlineLevel="0" collapsed="false">
      <c r="A13" s="21" t="s">
        <v>80</v>
      </c>
      <c r="B13" s="22" t="s">
        <v>73</v>
      </c>
      <c r="C13" s="23" t="s">
        <v>60</v>
      </c>
      <c r="D13" s="24" t="s">
        <v>81</v>
      </c>
      <c r="E13" s="25" t="s">
        <v>82</v>
      </c>
      <c r="F13" s="26" t="s">
        <v>39</v>
      </c>
      <c r="G13" s="21" t="n">
        <v>8</v>
      </c>
      <c r="H13" s="20" t="s">
        <v>16</v>
      </c>
      <c r="I13" s="21"/>
      <c r="J13" s="25" t="s">
        <v>83</v>
      </c>
    </row>
    <row r="14" customFormat="false" ht="30" hidden="false" customHeight="true" outlineLevel="0" collapsed="false">
      <c r="A14" s="21" t="s">
        <v>84</v>
      </c>
      <c r="B14" s="22" t="s">
        <v>73</v>
      </c>
      <c r="C14" s="23" t="s">
        <v>52</v>
      </c>
      <c r="D14" s="24" t="s">
        <v>85</v>
      </c>
      <c r="E14" s="25" t="s">
        <v>86</v>
      </c>
      <c r="F14" s="26" t="s">
        <v>39</v>
      </c>
      <c r="G14" s="21" t="n">
        <v>6</v>
      </c>
      <c r="H14" s="20" t="s">
        <v>16</v>
      </c>
      <c r="I14" s="21"/>
      <c r="J14" s="25" t="s">
        <v>55</v>
      </c>
    </row>
    <row r="15" customFormat="false" ht="30" hidden="false" customHeight="true" outlineLevel="0" collapsed="false">
      <c r="A15" s="21" t="s">
        <v>87</v>
      </c>
      <c r="B15" s="22" t="s">
        <v>73</v>
      </c>
      <c r="C15" s="23" t="s">
        <v>88</v>
      </c>
      <c r="D15" s="24" t="s">
        <v>89</v>
      </c>
      <c r="E15" s="25" t="s">
        <v>90</v>
      </c>
      <c r="F15" s="26" t="s">
        <v>39</v>
      </c>
      <c r="G15" s="21" t="n">
        <v>6</v>
      </c>
      <c r="H15" s="20" t="s">
        <v>16</v>
      </c>
      <c r="I15" s="21"/>
      <c r="J15" s="25"/>
    </row>
    <row r="16" customFormat="false" ht="30" hidden="false" customHeight="true" outlineLevel="0" collapsed="false">
      <c r="A16" s="21" t="s">
        <v>91</v>
      </c>
      <c r="B16" s="22" t="s">
        <v>73</v>
      </c>
      <c r="C16" s="23" t="s">
        <v>88</v>
      </c>
      <c r="D16" s="24" t="s">
        <v>92</v>
      </c>
      <c r="E16" s="25" t="s">
        <v>93</v>
      </c>
      <c r="F16" s="26" t="s">
        <v>39</v>
      </c>
      <c r="G16" s="21" t="n">
        <v>8</v>
      </c>
      <c r="H16" s="20" t="s">
        <v>16</v>
      </c>
      <c r="I16" s="21"/>
      <c r="J16" s="25" t="s">
        <v>94</v>
      </c>
    </row>
    <row r="17" customFormat="false" ht="30" hidden="false" customHeight="true" outlineLevel="0" collapsed="false">
      <c r="A17" s="21" t="s">
        <v>95</v>
      </c>
      <c r="B17" s="22" t="s">
        <v>73</v>
      </c>
      <c r="C17" s="23" t="s">
        <v>88</v>
      </c>
      <c r="D17" s="24" t="s">
        <v>96</v>
      </c>
      <c r="E17" s="25" t="s">
        <v>97</v>
      </c>
      <c r="F17" s="26" t="s">
        <v>39</v>
      </c>
      <c r="G17" s="21" t="n">
        <v>6</v>
      </c>
      <c r="H17" s="20" t="s">
        <v>16</v>
      </c>
      <c r="I17" s="21"/>
      <c r="J17" s="25"/>
    </row>
    <row r="18" customFormat="false" ht="30" hidden="false" customHeight="true" outlineLevel="0" collapsed="false">
      <c r="A18" s="21" t="s">
        <v>98</v>
      </c>
      <c r="B18" s="22" t="s">
        <v>73</v>
      </c>
      <c r="C18" s="23" t="s">
        <v>99</v>
      </c>
      <c r="D18" s="24" t="s">
        <v>100</v>
      </c>
      <c r="E18" s="25" t="s">
        <v>101</v>
      </c>
      <c r="F18" s="26" t="s">
        <v>39</v>
      </c>
      <c r="G18" s="21" t="n">
        <v>10</v>
      </c>
      <c r="H18" s="20" t="s">
        <v>16</v>
      </c>
      <c r="I18" s="21"/>
      <c r="J18" s="25" t="s">
        <v>102</v>
      </c>
    </row>
    <row r="19" customFormat="false" ht="30" hidden="false" customHeight="true" outlineLevel="0" collapsed="false">
      <c r="A19" s="21" t="s">
        <v>103</v>
      </c>
      <c r="B19" s="22" t="s">
        <v>73</v>
      </c>
      <c r="C19" s="23" t="s">
        <v>104</v>
      </c>
      <c r="D19" s="24" t="s">
        <v>105</v>
      </c>
      <c r="E19" s="25" t="s">
        <v>106</v>
      </c>
      <c r="F19" s="26" t="s">
        <v>39</v>
      </c>
      <c r="G19" s="21" t="n">
        <v>4</v>
      </c>
      <c r="H19" s="20" t="s">
        <v>16</v>
      </c>
      <c r="I19" s="21"/>
      <c r="J19" s="25" t="s">
        <v>107</v>
      </c>
    </row>
    <row r="20" customFormat="false" ht="30" hidden="false" customHeight="true" outlineLevel="0" collapsed="false">
      <c r="A20" s="21" t="s">
        <v>108</v>
      </c>
      <c r="B20" s="22" t="s">
        <v>73</v>
      </c>
      <c r="C20" s="23" t="s">
        <v>109</v>
      </c>
      <c r="D20" s="24" t="s">
        <v>110</v>
      </c>
      <c r="E20" s="25" t="s">
        <v>111</v>
      </c>
      <c r="F20" s="26" t="s">
        <v>39</v>
      </c>
      <c r="G20" s="21" t="n">
        <v>14</v>
      </c>
      <c r="H20" s="20" t="s">
        <v>16</v>
      </c>
      <c r="I20" s="21"/>
      <c r="J20" s="25" t="s">
        <v>112</v>
      </c>
    </row>
    <row r="21" customFormat="false" ht="30" hidden="false" customHeight="true" outlineLevel="0" collapsed="false">
      <c r="A21" s="14" t="s">
        <v>113</v>
      </c>
      <c r="B21" s="15" t="s">
        <v>114</v>
      </c>
      <c r="C21" s="16" t="s">
        <v>99</v>
      </c>
      <c r="D21" s="17" t="s">
        <v>115</v>
      </c>
      <c r="E21" s="18" t="s">
        <v>116</v>
      </c>
      <c r="F21" s="19" t="s">
        <v>39</v>
      </c>
      <c r="G21" s="14" t="n">
        <v>8</v>
      </c>
      <c r="H21" s="20" t="s">
        <v>16</v>
      </c>
      <c r="I21" s="14"/>
      <c r="J21" s="18"/>
    </row>
    <row r="22" customFormat="false" ht="30" hidden="false" customHeight="true" outlineLevel="0" collapsed="false">
      <c r="A22" s="14" t="s">
        <v>117</v>
      </c>
      <c r="B22" s="15" t="s">
        <v>114</v>
      </c>
      <c r="C22" s="16" t="s">
        <v>118</v>
      </c>
      <c r="D22" s="17" t="s">
        <v>119</v>
      </c>
      <c r="E22" s="18" t="s">
        <v>120</v>
      </c>
      <c r="F22" s="19" t="s">
        <v>39</v>
      </c>
      <c r="G22" s="14" t="n">
        <v>10</v>
      </c>
      <c r="H22" s="20" t="s">
        <v>16</v>
      </c>
      <c r="I22" s="14"/>
      <c r="J22" s="18" t="s">
        <v>121</v>
      </c>
    </row>
    <row r="23" customFormat="false" ht="30" hidden="false" customHeight="true" outlineLevel="0" collapsed="false">
      <c r="A23" s="14" t="s">
        <v>122</v>
      </c>
      <c r="B23" s="15" t="s">
        <v>114</v>
      </c>
      <c r="C23" s="16" t="s">
        <v>118</v>
      </c>
      <c r="D23" s="17" t="s">
        <v>123</v>
      </c>
      <c r="E23" s="18" t="s">
        <v>124</v>
      </c>
      <c r="F23" s="19" t="s">
        <v>39</v>
      </c>
      <c r="G23" s="14" t="n">
        <v>8</v>
      </c>
      <c r="H23" s="20" t="s">
        <v>16</v>
      </c>
      <c r="I23" s="14"/>
      <c r="J23" s="18"/>
    </row>
    <row r="24" customFormat="false" ht="30" hidden="false" customHeight="true" outlineLevel="0" collapsed="false">
      <c r="A24" s="14" t="s">
        <v>125</v>
      </c>
      <c r="B24" s="15" t="s">
        <v>114</v>
      </c>
      <c r="C24" s="16" t="s">
        <v>52</v>
      </c>
      <c r="D24" s="17" t="s">
        <v>126</v>
      </c>
      <c r="E24" s="18" t="s">
        <v>127</v>
      </c>
      <c r="F24" s="19" t="s">
        <v>39</v>
      </c>
      <c r="G24" s="14" t="n">
        <v>6</v>
      </c>
      <c r="H24" s="20" t="s">
        <v>16</v>
      </c>
      <c r="I24" s="14"/>
      <c r="J24" s="18" t="s">
        <v>55</v>
      </c>
    </row>
    <row r="25" customFormat="false" ht="30" hidden="false" customHeight="true" outlineLevel="0" collapsed="false">
      <c r="A25" s="14" t="s">
        <v>128</v>
      </c>
      <c r="B25" s="15" t="s">
        <v>114</v>
      </c>
      <c r="C25" s="16" t="s">
        <v>118</v>
      </c>
      <c r="D25" s="17" t="s">
        <v>129</v>
      </c>
      <c r="E25" s="18" t="s">
        <v>130</v>
      </c>
      <c r="F25" s="19" t="s">
        <v>39</v>
      </c>
      <c r="G25" s="14" t="n">
        <v>6</v>
      </c>
      <c r="H25" s="20" t="s">
        <v>16</v>
      </c>
      <c r="I25" s="14"/>
      <c r="J25" s="18" t="s">
        <v>131</v>
      </c>
    </row>
    <row r="26" customFormat="false" ht="30" hidden="false" customHeight="true" outlineLevel="0" collapsed="false">
      <c r="A26" s="14" t="s">
        <v>132</v>
      </c>
      <c r="B26" s="15" t="s">
        <v>114</v>
      </c>
      <c r="C26" s="16" t="s">
        <v>88</v>
      </c>
      <c r="D26" s="17" t="s">
        <v>133</v>
      </c>
      <c r="E26" s="18" t="s">
        <v>134</v>
      </c>
      <c r="F26" s="19" t="s">
        <v>39</v>
      </c>
      <c r="G26" s="14" t="n">
        <v>4</v>
      </c>
      <c r="H26" s="20" t="s">
        <v>16</v>
      </c>
      <c r="I26" s="14"/>
      <c r="J26" s="18"/>
    </row>
    <row r="27" customFormat="false" ht="30" hidden="false" customHeight="true" outlineLevel="0" collapsed="false">
      <c r="A27" s="14" t="s">
        <v>135</v>
      </c>
      <c r="B27" s="15" t="s">
        <v>114</v>
      </c>
      <c r="C27" s="16" t="s">
        <v>118</v>
      </c>
      <c r="D27" s="17" t="s">
        <v>136</v>
      </c>
      <c r="E27" s="18" t="s">
        <v>137</v>
      </c>
      <c r="F27" s="19" t="s">
        <v>39</v>
      </c>
      <c r="G27" s="14" t="n">
        <v>8</v>
      </c>
      <c r="H27" s="20" t="s">
        <v>16</v>
      </c>
      <c r="I27" s="14"/>
      <c r="J27" s="18"/>
    </row>
    <row r="28" customFormat="false" ht="30" hidden="false" customHeight="true" outlineLevel="0" collapsed="false">
      <c r="A28" s="14" t="s">
        <v>138</v>
      </c>
      <c r="B28" s="15" t="s">
        <v>114</v>
      </c>
      <c r="C28" s="16" t="s">
        <v>88</v>
      </c>
      <c r="D28" s="17" t="s">
        <v>139</v>
      </c>
      <c r="E28" s="18" t="s">
        <v>140</v>
      </c>
      <c r="F28" s="27" t="s">
        <v>141</v>
      </c>
      <c r="G28" s="14" t="n">
        <v>8</v>
      </c>
      <c r="H28" s="20" t="s">
        <v>16</v>
      </c>
      <c r="I28" s="14"/>
      <c r="J28" s="18"/>
    </row>
    <row r="29" customFormat="false" ht="30" hidden="false" customHeight="true" outlineLevel="0" collapsed="false">
      <c r="A29" s="14" t="s">
        <v>142</v>
      </c>
      <c r="B29" s="15" t="s">
        <v>114</v>
      </c>
      <c r="C29" s="16" t="s">
        <v>109</v>
      </c>
      <c r="D29" s="17" t="s">
        <v>143</v>
      </c>
      <c r="E29" s="18" t="s">
        <v>144</v>
      </c>
      <c r="F29" s="19" t="s">
        <v>39</v>
      </c>
      <c r="G29" s="14" t="n">
        <v>14</v>
      </c>
      <c r="H29" s="20" t="s">
        <v>16</v>
      </c>
      <c r="I29" s="14"/>
      <c r="J29" s="18" t="s">
        <v>145</v>
      </c>
    </row>
    <row r="30" customFormat="false" ht="30" hidden="false" customHeight="true" outlineLevel="0" collapsed="false">
      <c r="A30" s="21" t="s">
        <v>146</v>
      </c>
      <c r="B30" s="22" t="s">
        <v>147</v>
      </c>
      <c r="C30" s="23" t="s">
        <v>88</v>
      </c>
      <c r="D30" s="24" t="s">
        <v>148</v>
      </c>
      <c r="E30" s="25" t="s">
        <v>149</v>
      </c>
      <c r="F30" s="26" t="s">
        <v>39</v>
      </c>
      <c r="G30" s="21" t="n">
        <v>8</v>
      </c>
      <c r="H30" s="20" t="s">
        <v>16</v>
      </c>
      <c r="I30" s="21"/>
      <c r="J30" s="25"/>
    </row>
    <row r="31" customFormat="false" ht="30" hidden="false" customHeight="true" outlineLevel="0" collapsed="false">
      <c r="A31" s="21" t="s">
        <v>150</v>
      </c>
      <c r="B31" s="22" t="s">
        <v>147</v>
      </c>
      <c r="C31" s="23" t="s">
        <v>118</v>
      </c>
      <c r="D31" s="24" t="s">
        <v>151</v>
      </c>
      <c r="E31" s="25" t="s">
        <v>152</v>
      </c>
      <c r="F31" s="26" t="s">
        <v>39</v>
      </c>
      <c r="G31" s="21" t="n">
        <v>8</v>
      </c>
      <c r="H31" s="20" t="s">
        <v>16</v>
      </c>
      <c r="I31" s="21"/>
      <c r="J31" s="25" t="s">
        <v>153</v>
      </c>
    </row>
    <row r="32" customFormat="false" ht="30" hidden="false" customHeight="true" outlineLevel="0" collapsed="false">
      <c r="A32" s="21" t="s">
        <v>154</v>
      </c>
      <c r="B32" s="22" t="s">
        <v>147</v>
      </c>
      <c r="C32" s="23" t="s">
        <v>155</v>
      </c>
      <c r="D32" s="24" t="s">
        <v>156</v>
      </c>
      <c r="E32" s="25" t="s">
        <v>157</v>
      </c>
      <c r="F32" s="26" t="s">
        <v>39</v>
      </c>
      <c r="G32" s="21" t="n">
        <v>14</v>
      </c>
      <c r="H32" s="20" t="s">
        <v>16</v>
      </c>
      <c r="I32" s="21"/>
      <c r="J32" s="25"/>
    </row>
    <row r="33" customFormat="false" ht="30" hidden="false" customHeight="true" outlineLevel="0" collapsed="false">
      <c r="A33" s="21" t="s">
        <v>158</v>
      </c>
      <c r="B33" s="22" t="s">
        <v>147</v>
      </c>
      <c r="C33" s="23" t="s">
        <v>155</v>
      </c>
      <c r="D33" s="24" t="s">
        <v>159</v>
      </c>
      <c r="E33" s="25" t="s">
        <v>160</v>
      </c>
      <c r="F33" s="26" t="s">
        <v>39</v>
      </c>
      <c r="G33" s="21" t="n">
        <v>4</v>
      </c>
      <c r="H33" s="20" t="s">
        <v>16</v>
      </c>
      <c r="I33" s="21"/>
      <c r="J33" s="25"/>
    </row>
    <row r="34" customFormat="false" ht="30" hidden="false" customHeight="true" outlineLevel="0" collapsed="false">
      <c r="A34" s="21" t="s">
        <v>161</v>
      </c>
      <c r="B34" s="22" t="s">
        <v>147</v>
      </c>
      <c r="C34" s="23" t="s">
        <v>118</v>
      </c>
      <c r="D34" s="24" t="s">
        <v>162</v>
      </c>
      <c r="E34" s="25" t="s">
        <v>163</v>
      </c>
      <c r="F34" s="28" t="s">
        <v>141</v>
      </c>
      <c r="G34" s="21" t="n">
        <v>6</v>
      </c>
      <c r="H34" s="20" t="s">
        <v>16</v>
      </c>
      <c r="I34" s="21"/>
      <c r="J34" s="25"/>
    </row>
    <row r="35" customFormat="false" ht="30" hidden="false" customHeight="true" outlineLevel="0" collapsed="false">
      <c r="A35" s="21" t="s">
        <v>164</v>
      </c>
      <c r="B35" s="22" t="s">
        <v>147</v>
      </c>
      <c r="C35" s="23" t="s">
        <v>165</v>
      </c>
      <c r="D35" s="24" t="s">
        <v>166</v>
      </c>
      <c r="E35" s="25" t="s">
        <v>167</v>
      </c>
      <c r="F35" s="26" t="s">
        <v>39</v>
      </c>
      <c r="G35" s="21" t="n">
        <v>8</v>
      </c>
      <c r="H35" s="20" t="s">
        <v>16</v>
      </c>
      <c r="I35" s="21"/>
      <c r="J35" s="25"/>
    </row>
    <row r="36" customFormat="false" ht="30" hidden="false" customHeight="true" outlineLevel="0" collapsed="false">
      <c r="A36" s="21" t="s">
        <v>168</v>
      </c>
      <c r="B36" s="22" t="s">
        <v>147</v>
      </c>
      <c r="C36" s="23" t="s">
        <v>165</v>
      </c>
      <c r="D36" s="24" t="s">
        <v>169</v>
      </c>
      <c r="E36" s="25" t="s">
        <v>170</v>
      </c>
      <c r="F36" s="26" t="s">
        <v>39</v>
      </c>
      <c r="G36" s="21" t="n">
        <v>8</v>
      </c>
      <c r="H36" s="20" t="s">
        <v>16</v>
      </c>
      <c r="I36" s="21"/>
      <c r="J36" s="25"/>
    </row>
    <row r="37" customFormat="false" ht="30" hidden="false" customHeight="true" outlineLevel="0" collapsed="false">
      <c r="A37" s="21" t="s">
        <v>171</v>
      </c>
      <c r="B37" s="22" t="s">
        <v>147</v>
      </c>
      <c r="C37" s="23" t="s">
        <v>165</v>
      </c>
      <c r="D37" s="24" t="s">
        <v>172</v>
      </c>
      <c r="E37" s="25" t="s">
        <v>173</v>
      </c>
      <c r="F37" s="26" t="s">
        <v>39</v>
      </c>
      <c r="G37" s="21" t="n">
        <v>6</v>
      </c>
      <c r="H37" s="20" t="s">
        <v>16</v>
      </c>
      <c r="I37" s="21"/>
      <c r="J37" s="25" t="s">
        <v>174</v>
      </c>
    </row>
    <row r="38" customFormat="false" ht="30" hidden="false" customHeight="true" outlineLevel="0" collapsed="false">
      <c r="A38" s="21" t="s">
        <v>175</v>
      </c>
      <c r="B38" s="22" t="s">
        <v>147</v>
      </c>
      <c r="C38" s="23" t="s">
        <v>165</v>
      </c>
      <c r="D38" s="24" t="s">
        <v>176</v>
      </c>
      <c r="E38" s="25" t="s">
        <v>177</v>
      </c>
      <c r="F38" s="26" t="s">
        <v>39</v>
      </c>
      <c r="G38" s="21" t="n">
        <v>6</v>
      </c>
      <c r="H38" s="20" t="s">
        <v>16</v>
      </c>
      <c r="I38" s="21"/>
      <c r="J38" s="25"/>
    </row>
    <row r="39" customFormat="false" ht="30" hidden="false" customHeight="true" outlineLevel="0" collapsed="false">
      <c r="A39" s="14" t="s">
        <v>178</v>
      </c>
      <c r="B39" s="15" t="s">
        <v>179</v>
      </c>
      <c r="C39" s="16" t="s">
        <v>180</v>
      </c>
      <c r="D39" s="17" t="s">
        <v>181</v>
      </c>
      <c r="E39" s="18" t="s">
        <v>182</v>
      </c>
      <c r="F39" s="19" t="s">
        <v>39</v>
      </c>
      <c r="G39" s="14" t="n">
        <v>10</v>
      </c>
      <c r="H39" s="20" t="s">
        <v>16</v>
      </c>
      <c r="I39" s="14"/>
      <c r="J39" s="18"/>
    </row>
    <row r="40" customFormat="false" ht="30" hidden="false" customHeight="true" outlineLevel="0" collapsed="false">
      <c r="A40" s="14" t="s">
        <v>183</v>
      </c>
      <c r="B40" s="15" t="s">
        <v>179</v>
      </c>
      <c r="C40" s="16" t="s">
        <v>180</v>
      </c>
      <c r="D40" s="17" t="s">
        <v>184</v>
      </c>
      <c r="E40" s="18" t="s">
        <v>185</v>
      </c>
      <c r="F40" s="19" t="s">
        <v>39</v>
      </c>
      <c r="G40" s="14" t="n">
        <v>6</v>
      </c>
      <c r="H40" s="20" t="s">
        <v>16</v>
      </c>
      <c r="I40" s="14"/>
      <c r="J40" s="18"/>
    </row>
    <row r="41" customFormat="false" ht="30" hidden="false" customHeight="true" outlineLevel="0" collapsed="false">
      <c r="A41" s="14" t="s">
        <v>186</v>
      </c>
      <c r="B41" s="15" t="s">
        <v>179</v>
      </c>
      <c r="C41" s="16" t="s">
        <v>180</v>
      </c>
      <c r="D41" s="17" t="s">
        <v>187</v>
      </c>
      <c r="E41" s="18" t="s">
        <v>188</v>
      </c>
      <c r="F41" s="19" t="s">
        <v>39</v>
      </c>
      <c r="G41" s="14" t="n">
        <v>6</v>
      </c>
      <c r="H41" s="20" t="s">
        <v>16</v>
      </c>
      <c r="I41" s="14"/>
      <c r="J41" s="18"/>
    </row>
    <row r="42" customFormat="false" ht="30" hidden="false" customHeight="true" outlineLevel="0" collapsed="false">
      <c r="A42" s="14" t="s">
        <v>189</v>
      </c>
      <c r="B42" s="15" t="s">
        <v>179</v>
      </c>
      <c r="C42" s="16" t="s">
        <v>180</v>
      </c>
      <c r="D42" s="17" t="s">
        <v>190</v>
      </c>
      <c r="E42" s="18" t="s">
        <v>191</v>
      </c>
      <c r="F42" s="19" t="s">
        <v>39</v>
      </c>
      <c r="G42" s="14" t="n">
        <v>6</v>
      </c>
      <c r="H42" s="20" t="s">
        <v>16</v>
      </c>
      <c r="I42" s="14"/>
      <c r="J42" s="18"/>
    </row>
    <row r="43" customFormat="false" ht="30" hidden="false" customHeight="true" outlineLevel="0" collapsed="false">
      <c r="A43" s="14" t="s">
        <v>192</v>
      </c>
      <c r="B43" s="15" t="s">
        <v>179</v>
      </c>
      <c r="C43" s="16" t="s">
        <v>180</v>
      </c>
      <c r="D43" s="17" t="s">
        <v>193</v>
      </c>
      <c r="E43" s="18" t="s">
        <v>194</v>
      </c>
      <c r="F43" s="27" t="s">
        <v>141</v>
      </c>
      <c r="G43" s="14" t="n">
        <v>6</v>
      </c>
      <c r="H43" s="20" t="s">
        <v>16</v>
      </c>
      <c r="I43" s="14"/>
      <c r="J43" s="18"/>
    </row>
    <row r="44" customFormat="false" ht="30" hidden="false" customHeight="true" outlineLevel="0" collapsed="false">
      <c r="A44" s="14" t="s">
        <v>195</v>
      </c>
      <c r="B44" s="15" t="s">
        <v>179</v>
      </c>
      <c r="C44" s="16" t="s">
        <v>109</v>
      </c>
      <c r="D44" s="17" t="s">
        <v>196</v>
      </c>
      <c r="E44" s="18" t="s">
        <v>197</v>
      </c>
      <c r="F44" s="27" t="s">
        <v>141</v>
      </c>
      <c r="G44" s="14" t="n">
        <v>16</v>
      </c>
      <c r="H44" s="20" t="s">
        <v>16</v>
      </c>
      <c r="I44" s="14"/>
      <c r="J44" s="18"/>
    </row>
    <row r="45" customFormat="false" ht="30" hidden="false" customHeight="true" outlineLevel="0" collapsed="false">
      <c r="A45" s="14" t="s">
        <v>198</v>
      </c>
      <c r="B45" s="15" t="s">
        <v>179</v>
      </c>
      <c r="C45" s="16" t="s">
        <v>155</v>
      </c>
      <c r="D45" s="17" t="s">
        <v>199</v>
      </c>
      <c r="E45" s="18" t="s">
        <v>200</v>
      </c>
      <c r="F45" s="27" t="s">
        <v>141</v>
      </c>
      <c r="G45" s="14" t="n">
        <v>8</v>
      </c>
      <c r="H45" s="20" t="s">
        <v>16</v>
      </c>
      <c r="I45" s="14"/>
      <c r="J45" s="18" t="s">
        <v>201</v>
      </c>
    </row>
    <row r="46" customFormat="false" ht="30" hidden="false" customHeight="true" outlineLevel="0" collapsed="false">
      <c r="A46" s="14" t="s">
        <v>202</v>
      </c>
      <c r="B46" s="15" t="s">
        <v>179</v>
      </c>
      <c r="C46" s="16" t="s">
        <v>165</v>
      </c>
      <c r="D46" s="17" t="s">
        <v>203</v>
      </c>
      <c r="E46" s="18" t="s">
        <v>204</v>
      </c>
      <c r="F46" s="19" t="s">
        <v>39</v>
      </c>
      <c r="G46" s="14" t="n">
        <v>8</v>
      </c>
      <c r="H46" s="20" t="s">
        <v>16</v>
      </c>
      <c r="I46" s="14"/>
      <c r="J46" s="18"/>
    </row>
    <row r="47" customFormat="false" ht="30" hidden="false" customHeight="true" outlineLevel="0" collapsed="false">
      <c r="A47" s="14" t="s">
        <v>205</v>
      </c>
      <c r="B47" s="15" t="s">
        <v>179</v>
      </c>
      <c r="C47" s="16" t="s">
        <v>165</v>
      </c>
      <c r="D47" s="17" t="s">
        <v>206</v>
      </c>
      <c r="E47" s="18" t="s">
        <v>207</v>
      </c>
      <c r="F47" s="19" t="s">
        <v>39</v>
      </c>
      <c r="G47" s="14" t="n">
        <v>6</v>
      </c>
      <c r="H47" s="20" t="s">
        <v>16</v>
      </c>
      <c r="I47" s="14"/>
      <c r="J47" s="18"/>
    </row>
    <row r="48" customFormat="false" ht="30" hidden="false" customHeight="true" outlineLevel="0" collapsed="false">
      <c r="A48" s="21" t="s">
        <v>208</v>
      </c>
      <c r="B48" s="22" t="s">
        <v>209</v>
      </c>
      <c r="C48" s="23" t="s">
        <v>210</v>
      </c>
      <c r="D48" s="24" t="s">
        <v>211</v>
      </c>
      <c r="E48" s="25" t="s">
        <v>212</v>
      </c>
      <c r="F48" s="26" t="s">
        <v>39</v>
      </c>
      <c r="G48" s="21" t="n">
        <v>12</v>
      </c>
      <c r="H48" s="20" t="s">
        <v>16</v>
      </c>
      <c r="I48" s="21"/>
      <c r="J48" s="25"/>
    </row>
    <row r="49" customFormat="false" ht="30" hidden="false" customHeight="true" outlineLevel="0" collapsed="false">
      <c r="A49" s="21" t="s">
        <v>213</v>
      </c>
      <c r="B49" s="22" t="s">
        <v>209</v>
      </c>
      <c r="C49" s="23" t="s">
        <v>210</v>
      </c>
      <c r="D49" s="24" t="s">
        <v>214</v>
      </c>
      <c r="E49" s="25" t="s">
        <v>215</v>
      </c>
      <c r="F49" s="28" t="s">
        <v>141</v>
      </c>
      <c r="G49" s="21" t="n">
        <v>6</v>
      </c>
      <c r="H49" s="20" t="s">
        <v>16</v>
      </c>
      <c r="I49" s="21"/>
      <c r="J49" s="25"/>
    </row>
    <row r="50" customFormat="false" ht="30" hidden="false" customHeight="true" outlineLevel="0" collapsed="false">
      <c r="A50" s="21" t="s">
        <v>216</v>
      </c>
      <c r="B50" s="22" t="s">
        <v>209</v>
      </c>
      <c r="C50" s="23" t="s">
        <v>88</v>
      </c>
      <c r="D50" s="24" t="s">
        <v>217</v>
      </c>
      <c r="E50" s="25" t="s">
        <v>218</v>
      </c>
      <c r="F50" s="28" t="s">
        <v>141</v>
      </c>
      <c r="G50" s="21" t="n">
        <v>8</v>
      </c>
      <c r="H50" s="20" t="s">
        <v>16</v>
      </c>
      <c r="I50" s="21"/>
      <c r="J50" s="25"/>
    </row>
    <row r="51" customFormat="false" ht="30" hidden="false" customHeight="true" outlineLevel="0" collapsed="false">
      <c r="A51" s="21" t="s">
        <v>219</v>
      </c>
      <c r="B51" s="22" t="s">
        <v>209</v>
      </c>
      <c r="C51" s="23" t="s">
        <v>118</v>
      </c>
      <c r="D51" s="24" t="s">
        <v>220</v>
      </c>
      <c r="E51" s="25" t="s">
        <v>221</v>
      </c>
      <c r="F51" s="28" t="s">
        <v>141</v>
      </c>
      <c r="G51" s="21" t="n">
        <v>6</v>
      </c>
      <c r="H51" s="20" t="s">
        <v>16</v>
      </c>
      <c r="I51" s="21"/>
      <c r="J51" s="25"/>
    </row>
    <row r="52" customFormat="false" ht="30" hidden="false" customHeight="true" outlineLevel="0" collapsed="false">
      <c r="A52" s="21" t="s">
        <v>222</v>
      </c>
      <c r="B52" s="22" t="s">
        <v>209</v>
      </c>
      <c r="C52" s="23" t="s">
        <v>118</v>
      </c>
      <c r="D52" s="24" t="s">
        <v>223</v>
      </c>
      <c r="E52" s="25" t="s">
        <v>224</v>
      </c>
      <c r="F52" s="28" t="s">
        <v>141</v>
      </c>
      <c r="G52" s="21" t="n">
        <v>6</v>
      </c>
      <c r="H52" s="20" t="s">
        <v>16</v>
      </c>
      <c r="I52" s="21"/>
      <c r="J52" s="25"/>
    </row>
    <row r="53" customFormat="false" ht="30" hidden="false" customHeight="true" outlineLevel="0" collapsed="false">
      <c r="A53" s="21" t="s">
        <v>225</v>
      </c>
      <c r="B53" s="22" t="s">
        <v>209</v>
      </c>
      <c r="C53" s="23" t="s">
        <v>118</v>
      </c>
      <c r="D53" s="24" t="s">
        <v>226</v>
      </c>
      <c r="E53" s="25" t="s">
        <v>227</v>
      </c>
      <c r="F53" s="28" t="s">
        <v>141</v>
      </c>
      <c r="G53" s="21" t="n">
        <v>6</v>
      </c>
      <c r="H53" s="20" t="s">
        <v>16</v>
      </c>
      <c r="I53" s="21"/>
      <c r="J53" s="25"/>
    </row>
    <row r="54" customFormat="false" ht="30" hidden="false" customHeight="true" outlineLevel="0" collapsed="false">
      <c r="A54" s="21" t="s">
        <v>228</v>
      </c>
      <c r="B54" s="22" t="s">
        <v>209</v>
      </c>
      <c r="C54" s="23" t="s">
        <v>36</v>
      </c>
      <c r="D54" s="24" t="s">
        <v>229</v>
      </c>
      <c r="E54" s="25" t="s">
        <v>230</v>
      </c>
      <c r="F54" s="28" t="s">
        <v>141</v>
      </c>
      <c r="G54" s="21" t="n">
        <v>8</v>
      </c>
      <c r="H54" s="20" t="s">
        <v>16</v>
      </c>
      <c r="I54" s="21"/>
      <c r="J54" s="25"/>
    </row>
    <row r="55" customFormat="false" ht="30" hidden="false" customHeight="true" outlineLevel="0" collapsed="false">
      <c r="A55" s="21" t="s">
        <v>231</v>
      </c>
      <c r="B55" s="22" t="s">
        <v>209</v>
      </c>
      <c r="C55" s="23" t="s">
        <v>165</v>
      </c>
      <c r="D55" s="24" t="s">
        <v>232</v>
      </c>
      <c r="E55" s="25" t="s">
        <v>233</v>
      </c>
      <c r="F55" s="26" t="s">
        <v>39</v>
      </c>
      <c r="G55" s="21" t="n">
        <v>12</v>
      </c>
      <c r="H55" s="20" t="s">
        <v>16</v>
      </c>
      <c r="I55" s="21"/>
      <c r="J55" s="25"/>
    </row>
    <row r="56" customFormat="false" ht="30" hidden="false" customHeight="true" outlineLevel="0" collapsed="false">
      <c r="A56" s="21" t="s">
        <v>234</v>
      </c>
      <c r="B56" s="22" t="s">
        <v>209</v>
      </c>
      <c r="C56" s="23" t="s">
        <v>165</v>
      </c>
      <c r="D56" s="24" t="s">
        <v>235</v>
      </c>
      <c r="E56" s="25" t="s">
        <v>236</v>
      </c>
      <c r="F56" s="26" t="s">
        <v>39</v>
      </c>
      <c r="G56" s="21" t="n">
        <v>8</v>
      </c>
      <c r="H56" s="20" t="s">
        <v>16</v>
      </c>
      <c r="I56" s="21"/>
      <c r="J56" s="25"/>
    </row>
  </sheetData>
  <conditionalFormatting sqref="H2:H5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"To Do"</formula>
    </cfRule>
  </conditionalFormatting>
  <dataValidations count="2">
    <dataValidation allowBlank="false" errorStyle="stop" operator="between" showDropDown="false" showErrorMessage="false" showInputMessage="false" sqref="H2:H56" type="list">
      <formula1>"To Do,In Progress,Done,Blocked"</formula1>
      <formula2>0</formula2>
    </dataValidation>
    <dataValidation allowBlank="false" errorStyle="stop" operator="between" showDropDown="false" showErrorMessage="false" showInputMessage="false" sqref="F2:F56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3" t="s">
        <v>25</v>
      </c>
      <c r="B1" s="13" t="s">
        <v>237</v>
      </c>
      <c r="C1" s="13" t="s">
        <v>238</v>
      </c>
      <c r="D1" s="13" t="s">
        <v>239</v>
      </c>
      <c r="E1" s="13" t="s">
        <v>240</v>
      </c>
    </row>
    <row r="2" customFormat="false" ht="45.75" hidden="false" customHeight="true" outlineLevel="0" collapsed="false">
      <c r="A2" s="29" t="s">
        <v>35</v>
      </c>
      <c r="B2" s="14" t="s">
        <v>241</v>
      </c>
      <c r="C2" s="17" t="s">
        <v>242</v>
      </c>
      <c r="D2" s="30" t="s">
        <v>243</v>
      </c>
      <c r="E2" s="14" t="s">
        <v>244</v>
      </c>
    </row>
    <row r="3" customFormat="false" ht="45.75" hidden="false" customHeight="true" outlineLevel="0" collapsed="false">
      <c r="A3" s="31" t="s">
        <v>73</v>
      </c>
      <c r="B3" s="21" t="s">
        <v>245</v>
      </c>
      <c r="C3" s="24" t="s">
        <v>246</v>
      </c>
      <c r="D3" s="32" t="s">
        <v>247</v>
      </c>
      <c r="E3" s="21" t="s">
        <v>244</v>
      </c>
    </row>
    <row r="4" customFormat="false" ht="45.75" hidden="false" customHeight="true" outlineLevel="0" collapsed="false">
      <c r="A4" s="29" t="s">
        <v>114</v>
      </c>
      <c r="B4" s="14" t="s">
        <v>248</v>
      </c>
      <c r="C4" s="17" t="s">
        <v>249</v>
      </c>
      <c r="D4" s="30" t="s">
        <v>250</v>
      </c>
      <c r="E4" s="14" t="s">
        <v>244</v>
      </c>
    </row>
    <row r="5" customFormat="false" ht="45.75" hidden="false" customHeight="true" outlineLevel="0" collapsed="false">
      <c r="A5" s="31" t="s">
        <v>147</v>
      </c>
      <c r="B5" s="21" t="s">
        <v>251</v>
      </c>
      <c r="C5" s="24" t="s">
        <v>252</v>
      </c>
      <c r="D5" s="32" t="s">
        <v>253</v>
      </c>
      <c r="E5" s="33" t="s">
        <v>254</v>
      </c>
    </row>
    <row r="6" customFormat="false" ht="45.75" hidden="false" customHeight="true" outlineLevel="0" collapsed="false">
      <c r="A6" s="29" t="s">
        <v>179</v>
      </c>
      <c r="B6" s="14" t="s">
        <v>255</v>
      </c>
      <c r="C6" s="17" t="s">
        <v>256</v>
      </c>
      <c r="D6" s="30" t="s">
        <v>257</v>
      </c>
      <c r="E6" s="34" t="s">
        <v>258</v>
      </c>
    </row>
    <row r="7" customFormat="false" ht="45.75" hidden="false" customHeight="true" outlineLevel="0" collapsed="false">
      <c r="A7" s="31" t="s">
        <v>209</v>
      </c>
      <c r="B7" s="21" t="s">
        <v>259</v>
      </c>
      <c r="C7" s="24" t="s">
        <v>260</v>
      </c>
      <c r="D7" s="32" t="s">
        <v>261</v>
      </c>
      <c r="E7" s="3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9"/>
  </cols>
  <sheetData>
    <row r="1" customFormat="false" ht="18.55" hidden="false" customHeight="false" outlineLevel="0" collapsed="false">
      <c r="A1" s="35" t="s">
        <v>262</v>
      </c>
    </row>
    <row r="2" customFormat="false" ht="15" hidden="false" customHeight="false" outlineLevel="0" collapsed="false">
      <c r="A2" s="36" t="s">
        <v>263</v>
      </c>
    </row>
    <row r="4" customFormat="false" ht="15" hidden="false" customHeight="false" outlineLevel="0" collapsed="false">
      <c r="A4" s="37" t="s">
        <v>264</v>
      </c>
      <c r="B4" s="38"/>
      <c r="C4" s="38"/>
      <c r="D4" s="38"/>
      <c r="E4" s="38"/>
    </row>
    <row r="5" customFormat="false" ht="15" hidden="false" customHeight="false" outlineLevel="0" collapsed="false">
      <c r="A5" s="17" t="s">
        <v>265</v>
      </c>
      <c r="B5" s="39" t="n">
        <f aca="false">COUNTA('Sprint Board'!$B$2:$B$56)</f>
        <v>55</v>
      </c>
    </row>
    <row r="6" customFormat="false" ht="15" hidden="false" customHeight="false" outlineLevel="0" collapsed="false">
      <c r="A6" s="17" t="s">
        <v>18</v>
      </c>
      <c r="B6" s="39" t="n">
        <f aca="false">COUNTIF('Sprint Board'!$H$2:$H$56,"Done")</f>
        <v>0</v>
      </c>
    </row>
    <row r="7" customFormat="false" ht="15" hidden="false" customHeight="false" outlineLevel="0" collapsed="false">
      <c r="A7" s="17" t="s">
        <v>17</v>
      </c>
      <c r="B7" s="39" t="n">
        <f aca="false">COUNTIF('Sprint Board'!$H$2:$H$56,"In Progress")</f>
        <v>0</v>
      </c>
    </row>
    <row r="8" customFormat="false" ht="15" hidden="false" customHeight="false" outlineLevel="0" collapsed="false">
      <c r="A8" s="17" t="s">
        <v>19</v>
      </c>
      <c r="B8" s="39" t="n">
        <f aca="false">COUNTIF('Sprint Board'!$H$2:$H$56,"Blocked")</f>
        <v>0</v>
      </c>
    </row>
    <row r="9" customFormat="false" ht="15" hidden="false" customHeight="false" outlineLevel="0" collapsed="false">
      <c r="A9" s="17" t="s">
        <v>266</v>
      </c>
      <c r="B9" s="40" t="n">
        <f aca="false">COUNTIF('Sprint Board'!$H$2:$H$56,"Done")/COUNTA('Sprint Board'!$B$2:$B$56)</f>
        <v>0</v>
      </c>
    </row>
    <row r="10" customFormat="false" ht="15" hidden="false" customHeight="false" outlineLevel="0" collapsed="false">
      <c r="A10" s="17" t="s">
        <v>267</v>
      </c>
      <c r="B10" s="39" t="n">
        <f aca="false">SUM('Sprint Board'!$G$2:$G$56)</f>
        <v>438</v>
      </c>
    </row>
    <row r="11" customFormat="false" ht="15" hidden="false" customHeight="false" outlineLevel="0" collapsed="false">
      <c r="A11" s="17" t="s">
        <v>268</v>
      </c>
      <c r="B11" s="39" t="n">
        <f aca="false">SUMIF('Sprint Board'!$H$2:$H$56,"Done",'Sprint Board'!$G$2:$G$56)</f>
        <v>0</v>
      </c>
    </row>
    <row r="13" customFormat="false" ht="15" hidden="false" customHeight="false" outlineLevel="0" collapsed="false">
      <c r="A13" s="41" t="s">
        <v>269</v>
      </c>
    </row>
    <row r="14" customFormat="false" ht="26.85" hidden="false" customHeight="false" outlineLevel="0" collapsed="false">
      <c r="A14" s="13" t="s">
        <v>25</v>
      </c>
      <c r="B14" s="13" t="s">
        <v>270</v>
      </c>
      <c r="C14" s="13" t="s">
        <v>18</v>
      </c>
      <c r="D14" s="13" t="s">
        <v>266</v>
      </c>
      <c r="E14" s="13" t="s">
        <v>271</v>
      </c>
      <c r="F14" s="13" t="s">
        <v>30</v>
      </c>
      <c r="G14" s="13" t="s">
        <v>272</v>
      </c>
    </row>
    <row r="15" customFormat="false" ht="15" hidden="false" customHeight="false" outlineLevel="0" collapsed="false">
      <c r="A15" s="29" t="s">
        <v>35</v>
      </c>
      <c r="B15" s="42" t="n">
        <f aca="false">COUNTIF('Sprint Board'!$B$2:$B$56,"Sprint 1")</f>
        <v>9</v>
      </c>
      <c r="C15" s="42" t="n">
        <f aca="false">COUNTIFS('Sprint Board'!$B$2:$B$56,"Sprint 1",'Sprint Board'!$H$2:$H$56,"Done")</f>
        <v>0</v>
      </c>
      <c r="D15" s="43" t="n">
        <f aca="false">IFERROR(COUNTIFS('Sprint Board'!$B$2:$B$56,"Sprint 1",'Sprint Board'!$H$2:$H$56,"Done")/COUNTIF('Sprint Board'!$B$2:$B$56,"Sprint 1"),0)</f>
        <v>0</v>
      </c>
      <c r="E15" s="44" t="str">
        <f aca="false">REPT("|",ROUND(D15*20,0))&amp;REPT(".",20-ROUND(D15*20,0))</f>
        <v>....................</v>
      </c>
      <c r="F15" s="42" t="n">
        <f aca="false">SUMIF('Sprint Board'!$B$2:$B$56,"Sprint 1",'Sprint Board'!$G$2:$G$56)</f>
        <v>70</v>
      </c>
      <c r="G15" s="42" t="n">
        <f aca="false">SUMIFS('Sprint Board'!$G$2:$G$56,'Sprint Board'!$B$2:$B$56,"Sprint 1",'Sprint Board'!$H$2:$H$56,"Done")</f>
        <v>0</v>
      </c>
    </row>
    <row r="16" customFormat="false" ht="15" hidden="false" customHeight="false" outlineLevel="0" collapsed="false">
      <c r="A16" s="29" t="s">
        <v>73</v>
      </c>
      <c r="B16" s="42" t="n">
        <f aca="false">COUNTIF('Sprint Board'!$B$2:$B$56,"Sprint 2")</f>
        <v>10</v>
      </c>
      <c r="C16" s="42" t="n">
        <f aca="false">COUNTIFS('Sprint Board'!$B$2:$B$56,"Sprint 2",'Sprint Board'!$H$2:$H$56,"Done")</f>
        <v>0</v>
      </c>
      <c r="D16" s="43" t="n">
        <f aca="false">IFERROR(COUNTIFS('Sprint Board'!$B$2:$B$56,"Sprint 2",'Sprint Board'!$H$2:$H$56,"Done")/COUNTIF('Sprint Board'!$B$2:$B$56,"Sprint 2"),0)</f>
        <v>0</v>
      </c>
      <c r="E16" s="44" t="str">
        <f aca="false">REPT("|",ROUND(D16*20,0))&amp;REPT(".",20-ROUND(D16*20,0))</f>
        <v>....................</v>
      </c>
      <c r="F16" s="42" t="n">
        <f aca="false">SUMIF('Sprint Board'!$B$2:$B$56,"Sprint 2",'Sprint Board'!$G$2:$G$56)</f>
        <v>84</v>
      </c>
      <c r="G16" s="42" t="n">
        <f aca="false">SUMIFS('Sprint Board'!$G$2:$G$56,'Sprint Board'!$B$2:$B$56,"Sprint 2",'Sprint Board'!$H$2:$H$56,"Done")</f>
        <v>0</v>
      </c>
    </row>
    <row r="17" customFormat="false" ht="15" hidden="false" customHeight="false" outlineLevel="0" collapsed="false">
      <c r="A17" s="29" t="s">
        <v>114</v>
      </c>
      <c r="B17" s="42" t="n">
        <f aca="false">COUNTIF('Sprint Board'!$B$2:$B$56,"Sprint 3")</f>
        <v>9</v>
      </c>
      <c r="C17" s="42" t="n">
        <f aca="false">COUNTIFS('Sprint Board'!$B$2:$B$56,"Sprint 3",'Sprint Board'!$H$2:$H$56,"Done")</f>
        <v>0</v>
      </c>
      <c r="D17" s="43" t="n">
        <f aca="false">IFERROR(COUNTIFS('Sprint Board'!$B$2:$B$56,"Sprint 3",'Sprint Board'!$H$2:$H$56,"Done")/COUNTIF('Sprint Board'!$B$2:$B$56,"Sprint 3"),0)</f>
        <v>0</v>
      </c>
      <c r="E17" s="44" t="str">
        <f aca="false">REPT("|",ROUND(D17*20,0))&amp;REPT(".",20-ROUND(D17*20,0))</f>
        <v>....................</v>
      </c>
      <c r="F17" s="42" t="n">
        <f aca="false">SUMIF('Sprint Board'!$B$2:$B$56,"Sprint 3",'Sprint Board'!$G$2:$G$56)</f>
        <v>72</v>
      </c>
      <c r="G17" s="42" t="n">
        <f aca="false">SUMIFS('Sprint Board'!$G$2:$G$56,'Sprint Board'!$B$2:$B$56,"Sprint 3",'Sprint Board'!$H$2:$H$56,"Done")</f>
        <v>0</v>
      </c>
    </row>
    <row r="18" customFormat="false" ht="15" hidden="false" customHeight="false" outlineLevel="0" collapsed="false">
      <c r="A18" s="29" t="s">
        <v>147</v>
      </c>
      <c r="B18" s="42" t="n">
        <f aca="false">COUNTIF('Sprint Board'!$B$2:$B$56,"Sprint 4")</f>
        <v>9</v>
      </c>
      <c r="C18" s="42" t="n">
        <f aca="false">COUNTIFS('Sprint Board'!$B$2:$B$56,"Sprint 4",'Sprint Board'!$H$2:$H$56,"Done")</f>
        <v>0</v>
      </c>
      <c r="D18" s="43" t="n">
        <f aca="false">IFERROR(COUNTIFS('Sprint Board'!$B$2:$B$56,"Sprint 4",'Sprint Board'!$H$2:$H$56,"Done")/COUNTIF('Sprint Board'!$B$2:$B$56,"Sprint 4"),0)</f>
        <v>0</v>
      </c>
      <c r="E18" s="44" t="str">
        <f aca="false">REPT("|",ROUND(D18*20,0))&amp;REPT(".",20-ROUND(D18*20,0))</f>
        <v>....................</v>
      </c>
      <c r="F18" s="42" t="n">
        <f aca="false">SUMIF('Sprint Board'!$B$2:$B$56,"Sprint 4",'Sprint Board'!$G$2:$G$56)</f>
        <v>68</v>
      </c>
      <c r="G18" s="42" t="n">
        <f aca="false">SUMIFS('Sprint Board'!$G$2:$G$56,'Sprint Board'!$B$2:$B$56,"Sprint 4",'Sprint Board'!$H$2:$H$56,"Done")</f>
        <v>0</v>
      </c>
    </row>
    <row r="19" customFormat="false" ht="15" hidden="false" customHeight="false" outlineLevel="0" collapsed="false">
      <c r="A19" s="29" t="s">
        <v>179</v>
      </c>
      <c r="B19" s="42" t="n">
        <f aca="false">COUNTIF('Sprint Board'!$B$2:$B$56,"Sprint 5")</f>
        <v>9</v>
      </c>
      <c r="C19" s="42" t="n">
        <f aca="false">COUNTIFS('Sprint Board'!$B$2:$B$56,"Sprint 5",'Sprint Board'!$H$2:$H$56,"Done")</f>
        <v>0</v>
      </c>
      <c r="D19" s="43" t="n">
        <f aca="false">IFERROR(COUNTIFS('Sprint Board'!$B$2:$B$56,"Sprint 5",'Sprint Board'!$H$2:$H$56,"Done")/COUNTIF('Sprint Board'!$B$2:$B$56,"Sprint 5"),0)</f>
        <v>0</v>
      </c>
      <c r="E19" s="44" t="str">
        <f aca="false">REPT("|",ROUND(D19*20,0))&amp;REPT(".",20-ROUND(D19*20,0))</f>
        <v>....................</v>
      </c>
      <c r="F19" s="42" t="n">
        <f aca="false">SUMIF('Sprint Board'!$B$2:$B$56,"Sprint 5",'Sprint Board'!$G$2:$G$56)</f>
        <v>72</v>
      </c>
      <c r="G19" s="42" t="n">
        <f aca="false">SUMIFS('Sprint Board'!$G$2:$G$56,'Sprint Board'!$B$2:$B$56,"Sprint 5",'Sprint Board'!$H$2:$H$56,"Done")</f>
        <v>0</v>
      </c>
    </row>
    <row r="20" customFormat="false" ht="15" hidden="false" customHeight="false" outlineLevel="0" collapsed="false">
      <c r="A20" s="29" t="s">
        <v>209</v>
      </c>
      <c r="B20" s="42" t="n">
        <f aca="false">COUNTIF('Sprint Board'!$B$2:$B$56,"Sprint 6")</f>
        <v>9</v>
      </c>
      <c r="C20" s="42" t="n">
        <f aca="false">COUNTIFS('Sprint Board'!$B$2:$B$56,"Sprint 6",'Sprint Board'!$H$2:$H$56,"Done")</f>
        <v>0</v>
      </c>
      <c r="D20" s="43" t="n">
        <f aca="false">IFERROR(COUNTIFS('Sprint Board'!$B$2:$B$56,"Sprint 6",'Sprint Board'!$H$2:$H$56,"Done")/COUNTIF('Sprint Board'!$B$2:$B$56,"Sprint 6"),0)</f>
        <v>0</v>
      </c>
      <c r="E20" s="44" t="str">
        <f aca="false">REPT("|",ROUND(D20*20,0))&amp;REPT(".",20-ROUND(D20*20,0))</f>
        <v>....................</v>
      </c>
      <c r="F20" s="42" t="n">
        <f aca="false">SUMIF('Sprint Board'!$B$2:$B$56,"Sprint 6",'Sprint Board'!$G$2:$G$56)</f>
        <v>72</v>
      </c>
      <c r="G20" s="42" t="n">
        <f aca="false">SUMIFS('Sprint Board'!$G$2:$G$56,'Sprint Board'!$B$2:$B$56,"Sprint 6",'Sprint Board'!$H$2:$H$56,"Done")</f>
        <v>0</v>
      </c>
    </row>
    <row r="21" customFormat="false" ht="15" hidden="false" customHeight="false" outlineLevel="0" collapsed="false">
      <c r="A21" s="45" t="s">
        <v>273</v>
      </c>
      <c r="B21" s="45" t="n">
        <f aca="false">SUM(B15:B20)</f>
        <v>55</v>
      </c>
      <c r="C21" s="45" t="n">
        <f aca="false">SUM(C15:C20)</f>
        <v>0</v>
      </c>
      <c r="D21" s="40" t="n">
        <f aca="false">IFERROR(C21/B21,0)</f>
        <v>0</v>
      </c>
      <c r="E21" s="46"/>
      <c r="F21" s="45" t="n">
        <f aca="false">SUM(F15:F20)</f>
        <v>438</v>
      </c>
      <c r="G21" s="45" t="n">
        <f aca="false">SUM(G15:G20)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5" min="4" style="0" width="14"/>
  </cols>
  <sheetData>
    <row r="1" customFormat="false" ht="16.15" hidden="false" customHeight="false" outlineLevel="0" collapsed="false">
      <c r="A1" s="47" t="s">
        <v>274</v>
      </c>
    </row>
    <row r="2" customFormat="false" ht="25.5" hidden="false" customHeight="true" outlineLevel="0" collapsed="false">
      <c r="A2" s="13" t="s">
        <v>275</v>
      </c>
      <c r="B2" s="13" t="s">
        <v>28</v>
      </c>
      <c r="C2" s="13" t="s">
        <v>29</v>
      </c>
      <c r="D2" s="13" t="s">
        <v>276</v>
      </c>
      <c r="E2" s="13" t="s">
        <v>31</v>
      </c>
    </row>
    <row r="3" customFormat="false" ht="27.75" hidden="false" customHeight="true" outlineLevel="0" collapsed="false">
      <c r="A3" s="17" t="s">
        <v>277</v>
      </c>
      <c r="B3" s="18" t="s">
        <v>278</v>
      </c>
      <c r="C3" s="48" t="s">
        <v>279</v>
      </c>
      <c r="D3" s="14" t="s">
        <v>280</v>
      </c>
      <c r="E3" s="20" t="s">
        <v>16</v>
      </c>
    </row>
    <row r="4" customFormat="false" ht="27.75" hidden="false" customHeight="true" outlineLevel="0" collapsed="false">
      <c r="A4" s="24" t="s">
        <v>281</v>
      </c>
      <c r="B4" s="25" t="s">
        <v>282</v>
      </c>
      <c r="C4" s="49" t="s">
        <v>279</v>
      </c>
      <c r="D4" s="21" t="s">
        <v>283</v>
      </c>
      <c r="E4" s="20" t="s">
        <v>16</v>
      </c>
    </row>
    <row r="5" customFormat="false" ht="27.75" hidden="false" customHeight="true" outlineLevel="0" collapsed="false">
      <c r="A5" s="17" t="s">
        <v>284</v>
      </c>
      <c r="B5" s="18" t="s">
        <v>285</v>
      </c>
      <c r="C5" s="48" t="s">
        <v>279</v>
      </c>
      <c r="D5" s="14" t="s">
        <v>286</v>
      </c>
      <c r="E5" s="20" t="s">
        <v>16</v>
      </c>
    </row>
    <row r="6" customFormat="false" ht="27.75" hidden="false" customHeight="true" outlineLevel="0" collapsed="false">
      <c r="A6" s="24" t="s">
        <v>287</v>
      </c>
      <c r="B6" s="25" t="s">
        <v>288</v>
      </c>
      <c r="C6" s="49" t="s">
        <v>279</v>
      </c>
      <c r="D6" s="21" t="s">
        <v>289</v>
      </c>
      <c r="E6" s="20" t="s">
        <v>16</v>
      </c>
    </row>
    <row r="7" customFormat="false" ht="27.75" hidden="false" customHeight="true" outlineLevel="0" collapsed="false">
      <c r="A7" s="17" t="s">
        <v>290</v>
      </c>
      <c r="B7" s="18" t="s">
        <v>291</v>
      </c>
      <c r="C7" s="48" t="s">
        <v>279</v>
      </c>
      <c r="D7" s="14" t="s">
        <v>292</v>
      </c>
      <c r="E7" s="20" t="s">
        <v>16</v>
      </c>
    </row>
    <row r="8" customFormat="false" ht="27.75" hidden="false" customHeight="true" outlineLevel="0" collapsed="false">
      <c r="A8" s="24" t="s">
        <v>293</v>
      </c>
      <c r="B8" s="25" t="s">
        <v>294</v>
      </c>
      <c r="C8" s="49" t="s">
        <v>279</v>
      </c>
      <c r="D8" s="21" t="s">
        <v>295</v>
      </c>
      <c r="E8" s="20" t="s">
        <v>16</v>
      </c>
    </row>
    <row r="9" customFormat="false" ht="27.75" hidden="false" customHeight="true" outlineLevel="0" collapsed="false">
      <c r="A9" s="17" t="s">
        <v>296</v>
      </c>
      <c r="B9" s="18" t="s">
        <v>297</v>
      </c>
      <c r="C9" s="48" t="s">
        <v>279</v>
      </c>
      <c r="D9" s="14" t="s">
        <v>289</v>
      </c>
      <c r="E9" s="20" t="s">
        <v>16</v>
      </c>
    </row>
    <row r="10" customFormat="false" ht="27.75" hidden="false" customHeight="true" outlineLevel="0" collapsed="false">
      <c r="A10" s="24" t="s">
        <v>298</v>
      </c>
      <c r="B10" s="25" t="s">
        <v>299</v>
      </c>
      <c r="C10" s="49" t="s">
        <v>279</v>
      </c>
      <c r="D10" s="21" t="s">
        <v>289</v>
      </c>
      <c r="E10" s="20" t="s">
        <v>16</v>
      </c>
    </row>
    <row r="11" customFormat="false" ht="27.75" hidden="false" customHeight="true" outlineLevel="0" collapsed="false">
      <c r="A11" s="17" t="s">
        <v>300</v>
      </c>
      <c r="B11" s="18" t="s">
        <v>301</v>
      </c>
      <c r="C11" s="48" t="s">
        <v>279</v>
      </c>
      <c r="D11" s="14" t="s">
        <v>289</v>
      </c>
      <c r="E11" s="20" t="s">
        <v>16</v>
      </c>
    </row>
    <row r="12" customFormat="false" ht="27.75" hidden="false" customHeight="true" outlineLevel="0" collapsed="false">
      <c r="A12" s="24" t="s">
        <v>302</v>
      </c>
      <c r="B12" s="25" t="s">
        <v>303</v>
      </c>
      <c r="C12" s="49" t="s">
        <v>279</v>
      </c>
      <c r="D12" s="21" t="s">
        <v>289</v>
      </c>
      <c r="E12" s="20" t="s">
        <v>16</v>
      </c>
    </row>
    <row r="13" customFormat="false" ht="27.75" hidden="false" customHeight="true" outlineLevel="0" collapsed="false">
      <c r="A13" s="17" t="s">
        <v>304</v>
      </c>
      <c r="B13" s="18" t="s">
        <v>305</v>
      </c>
      <c r="C13" s="48" t="s">
        <v>279</v>
      </c>
      <c r="D13" s="14" t="s">
        <v>283</v>
      </c>
      <c r="E13" s="20" t="s">
        <v>16</v>
      </c>
    </row>
    <row r="14" customFormat="false" ht="27.75" hidden="false" customHeight="true" outlineLevel="0" collapsed="false">
      <c r="A14" s="24" t="s">
        <v>306</v>
      </c>
      <c r="B14" s="25" t="s">
        <v>307</v>
      </c>
      <c r="C14" s="49" t="s">
        <v>279</v>
      </c>
      <c r="D14" s="21" t="s">
        <v>308</v>
      </c>
      <c r="E14" s="20" t="s">
        <v>16</v>
      </c>
    </row>
    <row r="15" customFormat="false" ht="27.75" hidden="false" customHeight="true" outlineLevel="0" collapsed="false">
      <c r="A15" s="17" t="s">
        <v>309</v>
      </c>
      <c r="B15" s="18" t="s">
        <v>310</v>
      </c>
      <c r="C15" s="48" t="s">
        <v>279</v>
      </c>
      <c r="D15" s="14" t="s">
        <v>311</v>
      </c>
      <c r="E15" s="20" t="s">
        <v>16</v>
      </c>
    </row>
    <row r="16" customFormat="false" ht="27.75" hidden="false" customHeight="true" outlineLevel="0" collapsed="false">
      <c r="A16" s="24" t="s">
        <v>312</v>
      </c>
      <c r="B16" s="25" t="s">
        <v>313</v>
      </c>
      <c r="C16" s="49" t="s">
        <v>279</v>
      </c>
      <c r="D16" s="21" t="s">
        <v>283</v>
      </c>
      <c r="E16" s="20" t="s">
        <v>16</v>
      </c>
    </row>
  </sheetData>
  <conditionalFormatting sqref="E3:E1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"To Do"</formula>
    </cfRule>
  </conditionalFormatting>
  <dataValidations count="1">
    <dataValidation allowBlank="false" errorStyle="stop" operator="between" showDropDown="false" showErrorMessage="false" showInputMessage="false" sqref="E3:E16" type="list">
      <formula1>"To Do,In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2026-06-20T06:26:25Z</dcterms:created>
  <dc:creator>openpyxl</dc:creator>
  <dc:description/>
  <dc:language>en-US</dc:language>
  <cp:lastModifiedBy/>
  <dcterms:modified xsi:type="dcterms:W3CDTF">2026-06-20T06:26:25Z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